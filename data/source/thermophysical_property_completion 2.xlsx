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e8d5c3bea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0d49065a124e50"/>
    <x:sheet xmlns:r="http://schemas.openxmlformats.org/officeDocument/2006/relationships" name="Completion_Matrix" sheetId="2" r:id="R58ae9544fe9a42cb"/>
    <x:sheet xmlns:r="http://schemas.openxmlformats.org/officeDocument/2006/relationships" name="Constants" sheetId="3" r:id="R04d533db0a01444f"/>
    <x:sheet xmlns:r="http://schemas.openxmlformats.org/officeDocument/2006/relationships" name="Portable_Fits" sheetId="4" r:id="R5e980d807e294e80"/>
    <x:sheet xmlns:r="http://schemas.openxmlformats.org/officeDocument/2006/relationships" name="T_Grid" sheetId="5" r:id="R8a713c51eb5b4cd7"/>
    <x:sheet xmlns:r="http://schemas.openxmlformats.org/officeDocument/2006/relationships" name="Sources" sheetId="6" r:id="Rf599ad71c33f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  <x:fill>
      <x:patternFill patternType="solid">
        <x:fgColor rgb="DCE6F1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7"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DEBF7"/>
        </x:patternFill>
      </x:fill>
    </x:dxf>
    <x:dxf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4400d25064755" /><Relationship Type="http://schemas.openxmlformats.org/officeDocument/2006/relationships/theme" Target="/xl/theme/theme1.xml" Id="R0a0b83fbc2ba4cfc" /><Relationship Type="http://schemas.microsoft.com/office/2022/11/relationships/FeaturePropertyBag" Target="/xl/featurePropertyBag/featurePropertyBag.xml" Id="R501670792c36485e" /><Relationship Type="http://schemas.openxmlformats.org/officeDocument/2006/relationships/sharedStrings" Target="/xl/sharedStrings.xml" Id="Rd56e13cf9f664dd7" /><Relationship Type="http://schemas.openxmlformats.org/officeDocument/2006/relationships/worksheet" Target="/xl/worksheets/sheet1.xml" Id="R200d49065a124e50" /><Relationship Type="http://schemas.openxmlformats.org/officeDocument/2006/relationships/worksheet" Target="/xl/worksheets/sheet2.xml" Id="R58ae9544fe9a42cb" /><Relationship Type="http://schemas.openxmlformats.org/officeDocument/2006/relationships/worksheet" Target="/xl/worksheets/sheet3.xml" Id="R04d533db0a01444f" /><Relationship Type="http://schemas.openxmlformats.org/officeDocument/2006/relationships/worksheet" Target="/xl/worksheets/sheet4.xml" Id="R5e980d807e294e80" /><Relationship Type="http://schemas.openxmlformats.org/officeDocument/2006/relationships/worksheet" Target="/xl/worksheets/sheet5.xml" Id="R8a713c51eb5b4cd7" /><Relationship Type="http://schemas.openxmlformats.org/officeDocument/2006/relationships/worksheet" Target="/xl/worksheets/sheet6.xml" Id="Rf599ad71c33f4e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letionMatrixTable" displayName="CompletionMatrixTable" ref="A3:G24" headerRowCount="1">
  <x:tableColumns count="7">
    <x:tableColumn id="1" name="Property"/>
    <x:tableColumn id="2" name="Glycerol"/>
    <x:tableColumn id="3" name="Aniline"/>
    <x:tableColumn id="4" name="Pyridine"/>
    <x:tableColumn id="5" name="Propylene oxide"/>
    <x:tableColumn id="6" name="Lactic acid"/>
    <x:tableColumn id="7" name="Acetophenone"/>
  </x:tableColumns>
  <x:tableStyleInfo name="TableStyleMedium2" showRowStripes="1"/>
</x:table>
</file>

<file path=xl/tables/table2.xml><?xml version="1.0" encoding="utf-8"?>
<x:table xmlns:x="http://schemas.openxmlformats.org/spreadsheetml/2006/main" id="2" name="ConstantsTable" displayName="ConstantsTable" ref="A3:AA9" headerRowCount="1">
  <x:tableColumns count="27">
    <x:tableColumn id="1" name="Compound"/>
    <x:tableColumn id="2" name="CAS"/>
    <x:tableColumn id="3" name="Formula"/>
    <x:tableColumn id="4" name="MW_gmol"/>
    <x:tableColumn id="5" name="Tb_K"/>
    <x:tableColumn id="6" name="Tm_K"/>
    <x:tableColumn id="7" name="Tc_K"/>
    <x:tableColumn id="8" name="Tc_source"/>
    <x:tableColumn id="9" name="Pc_Pa"/>
    <x:tableColumn id="10" name="Pc_source"/>
    <x:tableColumn id="11" name="Vc_m3mol"/>
    <x:tableColumn id="12" name="Vc_source"/>
    <x:tableColumn id="13" name="Zc_calculated"/>
    <x:tableColumn id="14" name="Zc_note"/>
    <x:tableColumn id="15" name="omega"/>
    <x:tableColumn id="16" name="omega_source"/>
    <x:tableColumn id="17" name="Hfus_kJmol"/>
    <x:tableColumn id="18" name="Hfus_source"/>
    <x:tableColumn id="19" name="Hf_liq_kJmol"/>
    <x:tableColumn id="20" name="Hf_note"/>
    <x:tableColumn id="21" name="Gf_liq_kJmol"/>
    <x:tableColumn id="22" name="Gf_note"/>
    <x:tableColumn id="23" name="S_liq_JmolK"/>
    <x:tableColumn id="24" name="S_note"/>
    <x:tableColumn id="25" name="Hcomb_liq_kJmol"/>
    <x:tableColumn id="26" name="Hcomb_note"/>
    <x:tableColumn id="27" name="NIST_URL"/>
  </x:tableColumns>
  <x:tableStyleInfo name="TableStyleMedium2" showRowStripes="1"/>
</x:table>
</file>

<file path=xl/tables/table3.xml><?xml version="1.0" encoding="utf-8"?>
<x:table xmlns:x="http://schemas.openxmlformats.org/spreadsheetml/2006/main" id="3" name="PortableFitsTable" displayName="PortableFitsTable" ref="A3:Y45" headerRowCount="1">
  <x:tableColumns count="25">
    <x:tableColumn id="1" name="Compound"/>
    <x:tableColumn id="2" name="CAS"/>
    <x:tableColumn id="3" name="Property"/>
    <x:tableColumn id="4" name="Selected_model"/>
    <x:tableColumn id="5" name="Model_quality"/>
    <x:tableColumn id="6" name="Tmin_K"/>
    <x:tableColumn id="7" name="Tmax_K"/>
    <x:tableColumn id="8" name="Portable_equation"/>
    <x:tableColumn id="9" name="Units_note"/>
    <x:tableColumn id="10" name="A"/>
    <x:tableColumn id="11" name="B"/>
    <x:tableColumn id="12" name="C"/>
    <x:tableColumn id="13" name="D"/>
    <x:tableColumn id="14" name="E"/>
    <x:tableColumn id="15" name="F"/>
    <x:tableColumn id="16" name="n"/>
    <x:tableColumn id="17" name="Tc_fit"/>
    <x:tableColumn id="18" name="Pc_fit"/>
    <x:tableColumn id="19" name="RMSE_rel_pct"/>
    <x:tableColumn id="20" name="Max_rel_error_pct"/>
    <x:tableColumn id="21" name="Original_model_parameters_JSON"/>
    <x:tableColumn id="22" name="NIST_URL"/>
    <x:tableColumn id="23" name="Docs_URL"/>
    <x:tableColumn id="24" name="Value_at_298_15K"/>
    <x:tableColumn id="25" name="298K_inside_fit_range"/>
  </x:tableColumns>
  <x:tableStyleInfo name="TableStyleMedium2" showRowStripes="1"/>
</x:table>
</file>

<file path=xl/tables/table4.xml><?xml version="1.0" encoding="utf-8"?>
<x:table xmlns:x="http://schemas.openxmlformats.org/spreadsheetml/2006/main" id="4" name="TemperatureGridTable" displayName="TemperatureGridTable" ref="A3:L69" headerRowCount="1">
  <x:tableColumns count="12">
    <x:tableColumn id="1" name="Compound"/>
    <x:tableColumn id="2" name="CAS"/>
    <x:tableColumn id="3" name="T_K"/>
    <x:tableColumn id="4" name="Psat"/>
    <x:tableColumn id="5" name="Hvap"/>
    <x:tableColumn id="6" name="Cpl"/>
    <x:tableColumn id="7" name="Cpg"/>
    <x:tableColumn id="8" name="rhol"/>
    <x:tableColumn id="9" name="Vml_m3mol"/>
    <x:tableColumn id="10" name="mul"/>
    <x:tableColumn id="11" name="mug"/>
    <x:tableColumn id="12" name="liquid_range_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3:C7" headerRowCount="1">
  <x:tableColumns count="3">
    <x:tableColumn id="1" name="Sourc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755261df9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d6324e6a8c4e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c0dbb86a6a4f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28803b4a554c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6728d36d41443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38" t="str">
        <x:v>Thermophysical property completion package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Item</x:v>
      </x:c>
      <x:c r="B3" s="40" t="str">
        <x:v>Value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39" t="str">
        <x:v>Reference temperature</x:v>
      </x:c>
      <x:c r="B4" s="41" t="str">
        <x:v>298.15 K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39" t="str">
        <x:v>Units</x:v>
      </x:c>
      <x:c r="B5" s="41" t="str">
        <x:v>SI; thermochemistry molar basis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39" t="str">
        <x:v>Generated with</x:v>
      </x:c>
      <x:c r="B6" s="41" t="str">
        <x:v>thermo 0.6.0 + chemicals 1.5.1; portable fits generated from selected public-data-stack models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39" t="str">
        <x:v>Purpose</x:v>
      </x:c>
      <x:c r="B7" s="41" t="str">
        <x:v>Best-effort completion of missing, estimated, and fallback pure-component property inputs.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39" t="str">
        <x:v>Important</x:v>
      </x:c>
      <x:c r="B8" s="41" t="str">
        <x:v>Use the Portable_Fits sheet only inside each listed Tmin–Tmax interval. Check phase applicability and do not extrapolate casually.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42" t="str">
        <x:v>Notes and limitations</x:v>
      </x:c>
      <x:c r="B10" s="42"/>
      <x:c r="C10" s="42"/>
      <x:c r="D10" s="42"/>
      <x:c r="E10" s="42"/>
      <x:c r="F10" s="42"/>
      <x:c r="G10" s="42"/>
      <x:c r="H10" s="42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39" t="n">
        <x:v>1</x:v>
      </x:c>
      <x:c r="B11" s="41" t="str">
        <x:v>This workbook is a best-effort public-data completion package, not a licensed DIPPR export and not an audited safety-design database.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39" t="n">
        <x:v>2</x:v>
      </x:c>
      <x:c r="B12" s="41" t="str">
        <x:v>Portable fits reproduce the selected public-data-stack model over the listed Tmin–Tmax interval. Do not extrapolate casually.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39" t="n">
        <x:v>3</x:v>
      </x:c>
      <x:c r="B13" s="41" t="str">
        <x:v>Liquid density is represented as mass density. Liquid molar volume is MW/rho and is included in the temperature grid.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39" t="n">
        <x:v>4</x:v>
      </x:c>
      <x:c r="B14" s="41" t="str">
        <x:v>Zc is calculated consistently as Pc*Vc/(R*Tc), rather than mixing an independently tabulated Zc with Tc/Pc/Vc from another source.</x:v>
      </x:c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39" t="n">
        <x:v>5</x:v>
      </x:c>
      <x:c r="B15" s="41" t="str">
        <x:v>Lactic acid needs the most scrutiny: several critical/transport/vapor-pressure entries are corresponding-states or group-contribution estimates. Its Hcomb(liq) is approximated from the publicly visible NIST solid combustion enthalpy and fusion enthalpy.</x:v>
      </x:c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39" t="n">
        <x:v>6</x:v>
      </x:c>
      <x:c r="B16" s="41" t="str">
        <x:v>For glycerol, very high-temperature behavior can be experimentally awkward because of decomposition; check the intended process window before relying on high-T fits.</x:v>
      </x:c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38" t="str">
        <x:v>Completed status matrix</x:v>
      </x:c>
      <x:c r="B1" s="38"/>
      <x:c r="C1" s="38"/>
      <x:c r="D1" s="38"/>
      <x:c r="E1" s="38"/>
      <x:c r="F1" s="38"/>
      <x:c r="G1" s="38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Property</x:v>
      </x:c>
      <x:c r="B3" s="40" t="str">
        <x:v>Glycerol</x:v>
      </x:c>
      <x:c r="C3" s="40" t="str">
        <x:v>Aniline</x:v>
      </x:c>
      <x:c r="D3" s="40" t="str">
        <x:v>Pyridine</x:v>
      </x:c>
      <x:c r="E3" s="40" t="str">
        <x:v>Propylene oxide</x:v>
      </x:c>
      <x:c r="F3" s="40" t="str">
        <x:v>Lactic acid</x:v>
      </x:c>
      <x:c r="G3" s="40" t="str">
        <x:v>Acetophenone</x:v>
      </x:c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39" t="str">
        <x:v>Identity</x:v>
      </x:c>
      <x:c r="B4" s="41" t="str">
        <x:v>Present</x:v>
      </x:c>
      <x:c r="C4" s="41" t="str">
        <x:v>Present</x:v>
      </x:c>
      <x:c r="D4" s="41" t="str">
        <x:v>Present</x:v>
      </x:c>
      <x:c r="E4" s="41" t="str">
        <x:v>Present</x:v>
      </x:c>
      <x:c r="F4" s="41" t="str">
        <x:v>Present</x:v>
      </x:c>
      <x:c r="G4" s="41" t="str">
        <x:v>Present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39" t="str">
        <x:v>MW</x:v>
      </x:c>
      <x:c r="B5" s="41" t="str">
        <x:v>Present</x:v>
      </x:c>
      <x:c r="C5" s="41" t="str">
        <x:v>Present</x:v>
      </x:c>
      <x:c r="D5" s="41" t="str">
        <x:v>Present</x:v>
      </x:c>
      <x:c r="E5" s="41" t="str">
        <x:v>Present</x:v>
      </x:c>
      <x:c r="F5" s="41" t="str">
        <x:v>Present</x:v>
      </x:c>
      <x:c r="G5" s="41" t="str">
        <x:v>Present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39" t="str">
        <x:v>Tb</x:v>
      </x:c>
      <x:c r="B6" s="41" t="str">
        <x:v>Present</x:v>
      </x:c>
      <x:c r="C6" s="41" t="str">
        <x:v>Present</x:v>
      </x:c>
      <x:c r="D6" s="41" t="str">
        <x:v>Present</x:v>
      </x:c>
      <x:c r="E6" s="41" t="str">
        <x:v>Present</x:v>
      </x:c>
      <x:c r="F6" s="41" t="str">
        <x:v>Present</x:v>
      </x:c>
      <x:c r="G6" s="41" t="str">
        <x:v>Present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39" t="str">
        <x:v>Tm</x:v>
      </x:c>
      <x:c r="B7" s="41" t="str">
        <x:v>Present</x:v>
      </x:c>
      <x:c r="C7" s="41" t="str">
        <x:v>Present</x:v>
      </x:c>
      <x:c r="D7" s="41" t="str">
        <x:v>Present</x:v>
      </x:c>
      <x:c r="E7" s="41" t="str">
        <x:v>Present</x:v>
      </x:c>
      <x:c r="F7" s="41" t="str">
        <x:v>Present</x:v>
      </x:c>
      <x:c r="G7" s="41" t="str">
        <x:v>Present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39" t="str">
        <x:v>Tc</x:v>
      </x:c>
      <x:c r="B8" s="41" t="str">
        <x:v>Filled — estimate/public compilation</x:v>
      </x:c>
      <x:c r="C8" s="41" t="str">
        <x:v>Present</x:v>
      </x:c>
      <x:c r="D8" s="41" t="str">
        <x:v>Present</x:v>
      </x:c>
      <x:c r="E8" s="41" t="str">
        <x:v>Present</x:v>
      </x:c>
      <x:c r="F8" s="41" t="str">
        <x:v>Filled — estimate/public compilation</x:v>
      </x:c>
      <x:c r="G8" s="41" t="str">
        <x:v>Present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39" t="str">
        <x:v>Pc</x:v>
      </x:c>
      <x:c r="B9" s="41" t="str">
        <x:v>Filled — estimate/public compilation</x:v>
      </x:c>
      <x:c r="C9" s="41" t="str">
        <x:v>Present</x:v>
      </x:c>
      <x:c r="D9" s="41" t="str">
        <x:v>Present</x:v>
      </x:c>
      <x:c r="E9" s="41" t="str">
        <x:v>Present</x:v>
      </x:c>
      <x:c r="F9" s="41" t="str">
        <x:v>Filled — estimate/public compilation</x:v>
      </x:c>
      <x:c r="G9" s="41" t="str">
        <x:v>Present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39" t="str">
        <x:v>Vc</x:v>
      </x:c>
      <x:c r="B10" s="41" t="str">
        <x:v>Filled — compiled value</x:v>
      </x:c>
      <x:c r="C10" s="41" t="str">
        <x:v>Filled — compiled value</x:v>
      </x:c>
      <x:c r="D10" s="41" t="str">
        <x:v>Filled — compiled value</x:v>
      </x:c>
      <x:c r="E10" s="41" t="str">
        <x:v>Filled — compiled value</x:v>
      </x:c>
      <x:c r="F10" s="41" t="str">
        <x:v>Filled — estimate/public compilation</x:v>
      </x:c>
      <x:c r="G10" s="41" t="str">
        <x:v>Filled — compiled value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39" t="str">
        <x:v>Zc</x:v>
      </x:c>
      <x:c r="B11" s="41" t="str">
        <x:v>Filled — calculated from Tc, Pc, Vc</x:v>
      </x:c>
      <x:c r="C11" s="41" t="str">
        <x:v>Filled — calculated from Tc, Pc, Vc</x:v>
      </x:c>
      <x:c r="D11" s="41" t="str">
        <x:v>Filled — calculated from Tc, Pc, Vc</x:v>
      </x:c>
      <x:c r="E11" s="41" t="str">
        <x:v>Filled — calculated from Tc, Pc, Vc</x:v>
      </x:c>
      <x:c r="F11" s="41" t="str">
        <x:v>Filled — calculated from Tc, Pc, Vc</x:v>
      </x:c>
      <x:c r="G11" s="41" t="str">
        <x:v>Filled — calculated from Tc, Pc, Vc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39" t="str">
        <x:v>omega</x:v>
      </x:c>
      <x:c r="B12" s="41" t="str">
        <x:v>Filled — estimate/public compilation</x:v>
      </x:c>
      <x:c r="C12" s="41" t="str">
        <x:v>Filled — estimate/public compilation</x:v>
      </x:c>
      <x:c r="D12" s="41" t="str">
        <x:v>Filled — estimate/public compilation</x:v>
      </x:c>
      <x:c r="E12" s="41" t="str">
        <x:v>Filled — reference EOS value</x:v>
      </x:c>
      <x:c r="F12" s="41" t="str">
        <x:v>Filled — estimate/public compilation</x:v>
      </x:c>
      <x:c r="G12" s="41" t="str">
        <x:v>Filled — estimate/public compilation</x:v>
      </x:c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39" t="str">
        <x:v>Hvap</x:v>
      </x:c>
      <x:c r="B13" s="41" t="str">
        <x:v>Filled — public correlation + portable fit</x:v>
      </x:c>
      <x:c r="C13" s="41" t="str">
        <x:v>Filled — public correlation + portable fit</x:v>
      </x:c>
      <x:c r="D13" s="41" t="str">
        <x:v>Filled — public correlation + portable fit</x:v>
      </x:c>
      <x:c r="E13" s="41" t="str">
        <x:v>Filled — public correlation + portable fit</x:v>
      </x:c>
      <x:c r="F13" s="41" t="str">
        <x:v>Filled — estimated correlation</x:v>
      </x:c>
      <x:c r="G13" s="41" t="str">
        <x:v>Filled — public correlation + portable fit</x:v>
      </x:c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39" t="str">
        <x:v>Hfus</x:v>
      </x:c>
      <x:c r="B14" s="41" t="str">
        <x:v>Filled — compiled/measured</x:v>
      </x:c>
      <x:c r="C14" s="41" t="str">
        <x:v>Filled — compiled/measured</x:v>
      </x:c>
      <x:c r="D14" s="41" t="str">
        <x:v>Filled — compiled/measured</x:v>
      </x:c>
      <x:c r="E14" s="41" t="str">
        <x:v>Filled — estimate</x:v>
      </x:c>
      <x:c r="F14" s="41" t="str">
        <x:v>Filled — compiled/measured</x:v>
      </x:c>
      <x:c r="G14" s="41" t="str">
        <x:v>Filled — estimate</x:v>
      </x:c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39" t="str">
        <x:v>Psat</x:v>
      </x:c>
      <x:c r="B15" s="41" t="str">
        <x:v>Filled — public correlation + portable fit</x:v>
      </x:c>
      <x:c r="C15" s="41" t="str">
        <x:v>Filled — public correlation + portable fit</x:v>
      </x:c>
      <x:c r="D15" s="41" t="str">
        <x:v>Filled — public correlation + portable fit</x:v>
      </x:c>
      <x:c r="E15" s="41" t="str">
        <x:v>Filled — public correlation + portable fit</x:v>
      </x:c>
      <x:c r="F15" s="41" t="str">
        <x:v>Filled — estimated correlation</x:v>
      </x:c>
      <x:c r="G15" s="41" t="str">
        <x:v>Filled — public correlation + portable fit</x:v>
      </x:c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39" t="str">
        <x:v>Liquid Cp</x:v>
      </x:c>
      <x:c r="B16" s="41" t="str">
        <x:v>Filled — public correlation + portable fit</x:v>
      </x:c>
      <x:c r="C16" s="41" t="str">
        <x:v>Filled — public correlation + portable fit</x:v>
      </x:c>
      <x:c r="D16" s="41" t="str">
        <x:v>Filled — public correlation + portable fit</x:v>
      </x:c>
      <x:c r="E16" s="41" t="str">
        <x:v>Filled — public correlation + portable fit</x:v>
      </x:c>
      <x:c r="F16" s="41" t="str">
        <x:v>Filled — estimated correlation</x:v>
      </x:c>
      <x:c r="G16" s="41" t="str">
        <x:v>Filled — public correlation + portable fit</x:v>
      </x:c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39" t="str">
        <x:v>Ideal-gas Cp</x:v>
      </x:c>
      <x:c r="B17" s="41" t="str">
        <x:v>Filled — estimated correlation</x:v>
      </x:c>
      <x:c r="C17" s="41" t="str">
        <x:v>Filled — public correlation + portable fit</x:v>
      </x:c>
      <x:c r="D17" s="41" t="str">
        <x:v>Filled — public correlation + portable fit</x:v>
      </x:c>
      <x:c r="E17" s="41" t="str">
        <x:v>Filled — public correlation + portable fit</x:v>
      </x:c>
      <x:c r="F17" s="41" t="str">
        <x:v>Filled — estimated correlation</x:v>
      </x:c>
      <x:c r="G17" s="41" t="str">
        <x:v>Filled — estimated correlation</x:v>
      </x:c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39" t="str">
        <x:v>Liquid density/volume</x:v>
      </x:c>
      <x:c r="B18" s="41" t="str">
        <x:v>Filled — public correlation + portable fit</x:v>
      </x:c>
      <x:c r="C18" s="41" t="str">
        <x:v>Filled — public correlation + portable fit</x:v>
      </x:c>
      <x:c r="D18" s="41" t="str">
        <x:v>Filled — public correlation + portable fit</x:v>
      </x:c>
      <x:c r="E18" s="41" t="str">
        <x:v>Filled — public correlation + portable fit</x:v>
      </x:c>
      <x:c r="F18" s="41" t="str">
        <x:v>Filled — estimated correlation</x:v>
      </x:c>
      <x:c r="G18" s="41" t="str">
        <x:v>Filled — public correlation + portable fit</x:v>
      </x:c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39" t="str">
        <x:v>Liquid viscosity</x:v>
      </x:c>
      <x:c r="B19" s="41" t="str">
        <x:v>Filled — public correlation + portable fit</x:v>
      </x:c>
      <x:c r="C19" s="41" t="str">
        <x:v>Filled — public correlation + portable fit</x:v>
      </x:c>
      <x:c r="D19" s="41" t="str">
        <x:v>Filled — public correlation + portable fit</x:v>
      </x:c>
      <x:c r="E19" s="41" t="str">
        <x:v>Filled — public correlation + portable fit</x:v>
      </x:c>
      <x:c r="F19" s="41" t="str">
        <x:v>Filled — estimated correlation</x:v>
      </x:c>
      <x:c r="G19" s="41" t="str">
        <x:v>Filled — public correlation + portable fit</x:v>
      </x:c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39" t="str">
        <x:v>Vapor viscosity</x:v>
      </x:c>
      <x:c r="B20" s="41" t="str">
        <x:v>Filled — public correlation + portable fit</x:v>
      </x:c>
      <x:c r="C20" s="41" t="str">
        <x:v>Filled — public correlation + portable fit</x:v>
      </x:c>
      <x:c r="D20" s="41" t="str">
        <x:v>Filled — public correlation + portable fit</x:v>
      </x:c>
      <x:c r="E20" s="41" t="str">
        <x:v>Filled — public correlation + portable fit</x:v>
      </x:c>
      <x:c r="F20" s="41" t="str">
        <x:v>Filled — estimated correlation</x:v>
      </x:c>
      <x:c r="G20" s="41" t="str">
        <x:v>Filled — public correlation + portable fit</x:v>
      </x:c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39" t="str">
        <x:v>Hf</x:v>
      </x:c>
      <x:c r="B21" s="41" t="str">
        <x:v>Filled — compiled</x:v>
      </x:c>
      <x:c r="C21" s="41" t="str">
        <x:v>Filled — compiled</x:v>
      </x:c>
      <x:c r="D21" s="41" t="str">
        <x:v>Filled — compiled</x:v>
      </x:c>
      <x:c r="E21" s="41" t="str">
        <x:v>Filled — compiled</x:v>
      </x:c>
      <x:c r="F21" s="41" t="str">
        <x:v>Filled — estimate/review</x:v>
      </x:c>
      <x:c r="G21" s="41" t="str">
        <x:v>Filled — compiled</x:v>
      </x:c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39" t="str">
        <x:v>Gf</x:v>
      </x:c>
      <x:c r="B22" s="41" t="str">
        <x:v>Filled — compiled/phase-adjusted</x:v>
      </x:c>
      <x:c r="C22" s="41" t="str">
        <x:v>Filled — compiled/phase-adjusted</x:v>
      </x:c>
      <x:c r="D22" s="41" t="str">
        <x:v>Filled — compiled/phase-adjusted</x:v>
      </x:c>
      <x:c r="E22" s="41" t="str">
        <x:v>Filled — compiled/phase-adjusted</x:v>
      </x:c>
      <x:c r="F22" s="41" t="str">
        <x:v>Filled — estimate/review</x:v>
      </x:c>
      <x:c r="G22" s="41" t="str">
        <x:v>Filled — compiled/phase-adjusted</x:v>
      </x:c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39" t="str">
        <x:v>S</x:v>
      </x:c>
      <x:c r="B23" s="41" t="str">
        <x:v>Filled — compiled/phase-adjusted</x:v>
      </x:c>
      <x:c r="C23" s="41" t="str">
        <x:v>Filled — compiled/phase-adjusted</x:v>
      </x:c>
      <x:c r="D23" s="41" t="str">
        <x:v>Filled — compiled/phase-adjusted</x:v>
      </x:c>
      <x:c r="E23" s="41" t="str">
        <x:v>Filled — compiled/phase-adjusted</x:v>
      </x:c>
      <x:c r="F23" s="41" t="str">
        <x:v>Filled — estimate/review</x:v>
      </x:c>
      <x:c r="G23" s="41" t="str">
        <x:v>Filled — compiled/phase-adjusted</x:v>
      </x:c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39" t="str">
        <x:v>Hcomb</x:v>
      </x:c>
      <x:c r="B24" s="41" t="str">
        <x:v>Filled — compiled</x:v>
      </x:c>
      <x:c r="C24" s="41" t="str">
        <x:v>Filled — compiled</x:v>
      </x:c>
      <x:c r="D24" s="41" t="str">
        <x:v>Filled — compiled</x:v>
      </x:c>
      <x:c r="E24" s="41" t="str">
        <x:v>Filled — compiled</x:v>
      </x:c>
      <x:c r="F24" s="41" t="str">
        <x:v>Filled — NIST-derived phase correction</x:v>
      </x:c>
      <x:c r="G24" s="41" t="str">
        <x:v>Filled — compiled</x:v>
      </x:c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G1"/>
  </x:mergeCells>
  <x:conditionalFormatting sqref="B4:G24">
    <x:cfRule type="expression" dxfId="0" priority="1">
      <x:formula>ISNUMBER(SEARCH("estimate",B4))</x:formula>
    </x:cfRule>
    <x:cfRule type="expression" dxfId="1" priority="2">
      <x:formula>ISNUMBER(SEARCH("calculated",B4))</x:formula>
    </x:cfRule>
    <x:cfRule type="expression" dxfId="2" priority="3">
      <x:formula>B4="Present"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c755261df94f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20" hidden="0" customWidth="1"/>
    <x:col min="13" max="13" width="16" hidden="0" customWidth="1"/>
    <x:col min="14" max="14" width="42" hidden="0" customWidth="1"/>
    <x:col min="15" max="15" width="16" hidden="0" customWidth="1"/>
    <x:col min="16" max="16" width="20" hidden="0" customWidth="1"/>
    <x:col min="17" max="17" width="16" hidden="0" customWidth="1"/>
    <x:col min="18" max="18" width="20" hidden="0" customWidth="1"/>
    <x:col min="19" max="19" width="16" hidden="0" customWidth="1"/>
    <x:col min="20" max="20" width="42" hidden="0" customWidth="1"/>
    <x:col min="21" max="21" width="16" hidden="0" customWidth="1"/>
    <x:col min="22" max="22" width="42" hidden="0" customWidth="1"/>
    <x:col min="23" max="23" width="16" hidden="0" customWidth="1"/>
    <x:col min="24" max="24" width="42" hidden="0" customWidth="1"/>
    <x:col min="25" max="25" width="16" hidden="0" customWidth="1"/>
    <x:col min="26" max="26" width="42" hidden="0" customWidth="1"/>
    <x:col min="27" max="27" width="46" hidden="0" customWidth="1"/>
  </x:cols>
  <x:sheetData>
    <x:row r="1">
      <x:c r="A1" s="38" t="str">
        <x:v>Fixed values and standard-state thermochemistry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Compound</x:v>
      </x:c>
      <x:c r="B3" s="40" t="str">
        <x:v>CAS</x:v>
      </x:c>
      <x:c r="C3" s="40" t="str">
        <x:v>Formula</x:v>
      </x:c>
      <x:c r="D3" s="40" t="str">
        <x:v>MW_gmol</x:v>
      </x:c>
      <x:c r="E3" s="40" t="str">
        <x:v>Tb_K</x:v>
      </x:c>
      <x:c r="F3" s="40" t="str">
        <x:v>Tm_K</x:v>
      </x:c>
      <x:c r="G3" s="40" t="str">
        <x:v>Tc_K</x:v>
      </x:c>
      <x:c r="H3" s="40" t="str">
        <x:v>Tc_source</x:v>
      </x:c>
      <x:c r="I3" s="40" t="str">
        <x:v>Pc_Pa</x:v>
      </x:c>
      <x:c r="J3" s="40" t="str">
        <x:v>Pc_source</x:v>
      </x:c>
      <x:c r="K3" s="40" t="str">
        <x:v>Vc_m3mol</x:v>
      </x:c>
      <x:c r="L3" s="40" t="str">
        <x:v>Vc_source</x:v>
      </x:c>
      <x:c r="M3" s="40" t="str">
        <x:v>Zc_calculated</x:v>
      </x:c>
      <x:c r="N3" s="40" t="str">
        <x:v>Zc_note</x:v>
      </x:c>
      <x:c r="O3" s="40" t="str">
        <x:v>omega</x:v>
      </x:c>
      <x:c r="P3" s="40" t="str">
        <x:v>omega_source</x:v>
      </x:c>
      <x:c r="Q3" s="40" t="str">
        <x:v>Hfus_kJmol</x:v>
      </x:c>
      <x:c r="R3" s="40" t="str">
        <x:v>Hfus_source</x:v>
      </x:c>
      <x:c r="S3" s="40" t="str">
        <x:v>Hf_liq_kJmol</x:v>
      </x:c>
      <x:c r="T3" s="40" t="str">
        <x:v>Hf_note</x:v>
      </x:c>
      <x:c r="U3" s="40" t="str">
        <x:v>Gf_liq_kJmol</x:v>
      </x:c>
      <x:c r="V3" s="40" t="str">
        <x:v>Gf_note</x:v>
      </x:c>
      <x:c r="W3" s="40" t="str">
        <x:v>S_liq_JmolK</x:v>
      </x:c>
      <x:c r="X3" s="40" t="str">
        <x:v>S_note</x:v>
      </x:c>
      <x:c r="Y3" s="40" t="str">
        <x:v>Hcomb_liq_kJmol</x:v>
      </x:c>
      <x:c r="Z3" s="40" t="str">
        <x:v>Hcomb_note</x:v>
      </x:c>
      <x:c r="AA3" s="40" t="str">
        <x:v>NIST_URL</x:v>
      </x:c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41" t="str">
        <x:v>Glycerol</x:v>
      </x:c>
      <x:c r="B4" s="41" t="str">
        <x:v>56-81-5</x:v>
      </x:c>
      <x:c r="C4" s="41" t="str">
        <x:v>C3H8O3</x:v>
      </x:c>
      <x:c r="D4" s="48" t="n">
        <x:v>92.09382</x:v>
      </x:c>
      <x:c r="E4" s="48" t="n">
        <x:v>562.15</x:v>
      </x:c>
      <x:c r="F4" s="48" t="n">
        <x:v>291.15</x:v>
      </x:c>
      <x:c r="G4" s="48" t="n">
        <x:v>850</x:v>
      </x:c>
      <x:c r="H4" s="41" t="str">
        <x:v>IUPAC</x:v>
      </x:c>
      <x:c r="I4" s="48" t="n">
        <x:v>7500000</x:v>
      </x:c>
      <x:c r="J4" s="41" t="str">
        <x:v>IUPAC</x:v>
      </x:c>
      <x:c r="K4" s="48" t="n">
        <x:v>0.000251</x:v>
      </x:c>
      <x:c r="L4" s="41" t="str">
        <x:v>CRC</x:v>
      </x:c>
      <x:c r="M4" s="48" t="n">
        <x:v>0.2663678921975668</x:v>
      </x:c>
      <x:c r="N4" s="41" t="str">
        <x:v>Pc*Vc/(R*Tc)</x:v>
      </x:c>
      <x:c r="O4" s="48" t="n">
        <x:v>0.5152</x:v>
      </x:c>
      <x:c r="P4" s="41" t="str">
        <x:v>PSRK</x:v>
      </x:c>
      <x:c r="Q4" s="48" t="n">
        <x:v>18.3</x:v>
      </x:c>
      <x:c r="R4" s="41" t="str">
        <x:v>CRC</x:v>
      </x:c>
      <x:c r="S4" s="48" t="n">
        <x:v>-669.6</x:v>
      </x:c>
      <x:c r="T4" s="41" t="str">
        <x:v>liquid standard-state value from public data stack</x:v>
      </x:c>
      <x:c r="U4" s="48" t="n">
        <x:v>-475.11953599644875</x:v>
      </x:c>
      <x:c r="V4" s="41" t="str">
        <x:v>liquid standard-state value / phase adjustment from public data stack</x:v>
      </x:c>
      <x:c r="W4" s="48" t="n">
        <x:v>195.40932750779382</x:v>
      </x:c>
      <x:c r="X4" s="41" t="str">
        <x:v>liquid standard-state value / phase adjustment from public data stack</x:v>
      </x:c>
      <x:c r="Y4" s="48" t="n">
        <x:v>-1654.122</x:v>
      </x:c>
      <x:c r="Z4" s="41" t="str">
        <x:v>liquid standard-state public data stack value</x:v>
      </x:c>
      <x:c r="AA4" s="41" t="str">
        <x:v>https://webbook.nist.gov/cgi/cbook.cgi?ID=C56815&amp;Mask=FFF</x:v>
      </x:c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41" t="str">
        <x:v>Aniline</x:v>
      </x:c>
      <x:c r="B5" s="41" t="str">
        <x:v>62-53-3</x:v>
      </x:c>
      <x:c r="C5" s="41" t="str">
        <x:v>C6H7N</x:v>
      </x:c>
      <x:c r="D5" s="48" t="n">
        <x:v>93.12648</x:v>
      </x:c>
      <x:c r="E5" s="48" t="n">
        <x:v>457.25</x:v>
      </x:c>
      <x:c r="F5" s="48" t="n">
        <x:v>267.15</x:v>
      </x:c>
      <x:c r="G5" s="48" t="n">
        <x:v>705</x:v>
      </x:c>
      <x:c r="H5" s="41" t="str">
        <x:v>IUPAC</x:v>
      </x:c>
      <x:c r="I5" s="48" t="n">
        <x:v>5630000</x:v>
      </x:c>
      <x:c r="J5" s="41" t="str">
        <x:v>IUPAC</x:v>
      </x:c>
      <x:c r="K5" s="48" t="n">
        <x:v>0.000291</x:v>
      </x:c>
      <x:c r="L5" s="41" t="str">
        <x:v>IUPAC</x:v>
      </x:c>
      <x:c r="M5" s="48" t="n">
        <x:v>0.2794975992016303</x:v>
      </x:c>
      <x:c r="N5" s="41" t="str">
        <x:v>Pc*Vc/(R*Tc)</x:v>
      </x:c>
      <x:c r="O5" s="48" t="n">
        <x:v>0.382</x:v>
      </x:c>
      <x:c r="P5" s="41" t="str">
        <x:v>PSRK</x:v>
      </x:c>
      <x:c r="Q5" s="48" t="n">
        <x:v>10.54</x:v>
      </x:c>
      <x:c r="R5" s="41" t="str">
        <x:v>CRC</x:v>
      </x:c>
      <x:c r="S5" s="48" t="n">
        <x:v>31.6</x:v>
      </x:c>
      <x:c r="T5" s="41" t="str">
        <x:v>liquid standard-state value from public data stack</x:v>
      </x:c>
      <x:c r="U5" s="48" t="n">
        <x:v>150.3579951871996</x:v>
      </x:c>
      <x:c r="V5" s="41" t="str">
        <x:v>liquid standard-state value / phase adjustment from public data stack</x:v>
      </x:c>
      <x:c r="W5" s="48" t="n">
        <x:v>189.13373239242117</x:v>
      </x:c>
      <x:c r="X5" s="41" t="str">
        <x:v>liquid standard-state value / phase adjustment from public data stack</x:v>
      </x:c>
      <x:c r="Y5" s="48" t="n">
        <x:v>-3392.8315</x:v>
      </x:c>
      <x:c r="Z5" s="41" t="str">
        <x:v>liquid standard-state public data stack value</x:v>
      </x:c>
      <x:c r="AA5" s="41" t="str">
        <x:v>https://webbook.nist.gov/cgi/cbook.cgi?ID=C62533&amp;Mask=FFF</x:v>
      </x:c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41" t="str">
        <x:v>Pyridine</x:v>
      </x:c>
      <x:c r="B6" s="41" t="str">
        <x:v>110-86-1</x:v>
      </x:c>
      <x:c r="C6" s="41" t="str">
        <x:v>C5H5N</x:v>
      </x:c>
      <x:c r="D6" s="48" t="n">
        <x:v>79.09989999999999</x:v>
      </x:c>
      <x:c r="E6" s="48" t="n">
        <x:v>388.35</x:v>
      </x:c>
      <x:c r="F6" s="48" t="n">
        <x:v>231.15</x:v>
      </x:c>
      <x:c r="G6" s="48" t="n">
        <x:v>620</x:v>
      </x:c>
      <x:c r="H6" s="41" t="str">
        <x:v>IUPAC</x:v>
      </x:c>
      <x:c r="I6" s="48" t="n">
        <x:v>5650000</x:v>
      </x:c>
      <x:c r="J6" s="41" t="str">
        <x:v>IUPAC</x:v>
      </x:c>
      <x:c r="K6" s="48" t="n">
        <x:v>0.000247</x:v>
      </x:c>
      <x:c r="L6" s="41" t="str">
        <x:v>IUPAC</x:v>
      </x:c>
      <x:c r="M6" s="48" t="n">
        <x:v>0.27071949206431667</x:v>
      </x:c>
      <x:c r="N6" s="41" t="str">
        <x:v>Pc*Vc/(R*Tc)</x:v>
      </x:c>
      <x:c r="O6" s="48" t="n">
        <x:v>0.24</x:v>
      </x:c>
      <x:c r="P6" s="41" t="str">
        <x:v>PSRK</x:v>
      </x:c>
      <x:c r="Q6" s="48" t="n">
        <x:v>8.28</x:v>
      </x:c>
      <x:c r="R6" s="41" t="str">
        <x:v>CRC</x:v>
      </x:c>
      <x:c r="S6" s="48" t="n">
        <x:v>100.2</x:v>
      </x:c>
      <x:c r="T6" s="41" t="str">
        <x:v>liquid standard-state value from public data stack</x:v>
      </x:c>
      <x:c r="U6" s="48" t="n">
        <x:v>181.7790708743403</x:v>
      </x:c>
      <x:c r="V6" s="41" t="str">
        <x:v>liquid standard-state value / phase adjustment from public data stack</x:v>
      </x:c>
      <x:c r="W6" s="48" t="n">
        <x:v>177.4324555614948</x:v>
      </x:c>
      <x:c r="X6" s="41" t="str">
        <x:v>liquid standard-state value / phase adjustment from public data stack</x:v>
      </x:c>
      <x:c r="Y6" s="48" t="n">
        <x:v>-2782.1325</x:v>
      </x:c>
      <x:c r="Z6" s="41" t="str">
        <x:v>liquid standard-state public data stack value</x:v>
      </x:c>
      <x:c r="AA6" s="41" t="str">
        <x:v>https://webbook.nist.gov/cgi/cbook.cgi?ID=C110861&amp;Mask=FFF</x:v>
      </x:c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41" t="str">
        <x:v>Propylene oxide</x:v>
      </x:c>
      <x:c r="B7" s="41" t="str">
        <x:v>75-56-9</x:v>
      </x:c>
      <x:c r="C7" s="41" t="str">
        <x:v>C3H6O</x:v>
      </x:c>
      <x:c r="D7" s="48" t="n">
        <x:v>58.07914</x:v>
      </x:c>
      <x:c r="E7" s="48" t="n">
        <x:v>307.268173727</x:v>
      </x:c>
      <x:c r="F7" s="48" t="n">
        <x:v>161.15</x:v>
      </x:c>
      <x:c r="G7" s="48" t="n">
        <x:v>488.11</x:v>
      </x:c>
      <x:c r="H7" s="41" t="str">
        <x:v>HEOS</x:v>
      </x:c>
      <x:c r="I7" s="48" t="n">
        <x:v>5436600</x:v>
      </x:c>
      <x:c r="J7" s="41" t="str">
        <x:v>HEOS</x:v>
      </x:c>
      <x:c r="K7" s="48" t="n">
        <x:v>0.000193986420951</x:v>
      </x:c>
      <x:c r="L7" s="41" t="str">
        <x:v>HEOS</x:v>
      </x:c>
      <x:c r="M7" s="48" t="n">
        <x:v>0.2598644199120486</x:v>
      </x:c>
      <x:c r="N7" s="41" t="str">
        <x:v>Pc*Vc/(R*Tc)</x:v>
      </x:c>
      <x:c r="O7" s="48" t="n">
        <x:v>0.249</x:v>
      </x:c>
      <x:c r="P7" s="41" t="str">
        <x:v>HEOS</x:v>
      </x:c>
      <x:c r="Q7" s="48" t="n">
        <x:v>9.64</x:v>
      </x:c>
      <x:c r="R7" s="41" t="str">
        <x:v>JOBACK</x:v>
      </x:c>
      <x:c r="S7" s="48" t="n">
        <x:v>-123.27080000000001</x:v>
      </x:c>
      <x:c r="T7" s="41" t="str">
        <x:v>liquid standard-state value from public data stack</x:v>
      </x:c>
      <x:c r="U7" s="48" t="n">
        <x:v>-29.166924510871016</x:v>
      </x:c>
      <x:c r="V7" s="41" t="str">
        <x:v>liquid standard-state value / phase adjustment from public data stack</x:v>
      </x:c>
      <x:c r="W7" s="48" t="n">
        <x:v>196.17405504233102</x:v>
      </x:c>
      <x:c r="X7" s="41" t="str">
        <x:v>liquid standard-state value / phase adjustment from public data stack</x:v>
      </x:c>
      <x:c r="Y7" s="48" t="n">
        <x:v>-1914.6262</x:v>
      </x:c>
      <x:c r="Z7" s="41" t="str">
        <x:v>liquid standard-state public data stack value</x:v>
      </x:c>
      <x:c r="AA7" s="41" t="str">
        <x:v>https://webbook.nist.gov/cgi/cbook.cgi?ID=C75569&amp;Mask=FFF</x:v>
      </x:c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41" t="str">
        <x:v>Lactic acid</x:v>
      </x:c>
      <x:c r="B8" s="41" t="str">
        <x:v>50-21-5</x:v>
      </x:c>
      <x:c r="C8" s="41" t="str">
        <x:v>C3H6O3</x:v>
      </x:c>
      <x:c r="D8" s="48" t="n">
        <x:v>90.07794</x:v>
      </x:c>
      <x:c r="E8" s="48" t="n">
        <x:v>505.49</x:v>
      </x:c>
      <x:c r="F8" s="48" t="n">
        <x:v>291.15</x:v>
      </x:c>
      <x:c r="G8" s="48" t="n">
        <x:v>675</x:v>
      </x:c>
      <x:c r="H8" s="41" t="str">
        <x:v>PINAMARTINES</x:v>
      </x:c>
      <x:c r="I8" s="48" t="n">
        <x:v>5960000</x:v>
      </x:c>
      <x:c r="J8" s="41" t="str">
        <x:v>PINAMARTINES</x:v>
      </x:c>
      <x:c r="K8" s="48" t="n">
        <x:v>0.000251</x:v>
      </x:c>
      <x:c r="L8" s="41" t="str">
        <x:v>PINAMARTINES</x:v>
      </x:c>
      <x:c r="M8" s="48" t="n">
        <x:v>0.2665520477773577</x:v>
      </x:c>
      <x:c r="N8" s="41" t="str">
        <x:v>Pc*Vc/(R*Tc)</x:v>
      </x:c>
      <x:c r="O8" s="48" t="n">
        <x:v>1.022</x:v>
      </x:c>
      <x:c r="P8" s="41" t="str">
        <x:v>YAWS</x:v>
      </x:c>
      <x:c r="Q8" s="48" t="n">
        <x:v>11.34</x:v>
      </x:c>
      <x:c r="R8" s="41" t="str">
        <x:v>NIST WebBook (measured)</x:v>
      </x:c>
      <x:c r="S8" s="48" t="n">
        <x:v>-710.6094538001764</x:v>
      </x:c>
      <x:c r="T8" s="41" t="str">
        <x:v>phase-adjusted estimate in public data stack; review for rigorous reaction modeling</x:v>
      </x:c>
      <x:c r="U8" s="48" t="n">
        <x:v>-564.166368073966</x:v>
      </x:c>
      <x:c r="V8" s="41" t="str">
        <x:v>phase-adjusted estimate in public data stack; review for rigorous reaction modeling</x:v>
      </x:c>
      <x:c r="W8" s="48" t="n">
        <x:v>225.8274837289605</x:v>
      </x:c>
      <x:c r="X8" s="41" t="str">
        <x:v>phase-adjusted estimate in public data stack; review for rigorous reaction modeling</x:v>
      </x:c>
      <x:c r="Y8" s="48" t="n">
        <x:v>-1374.1399999999999</x:v>
      </x:c>
      <x:c r="Z8" s="41" t="str">
        <x:v>Approx liquid Hcomb = NIST solid Hcomb - NIST Hfus (phase correction)</x:v>
      </x:c>
      <x:c r="AA8" s="41" t="str">
        <x:v>https://webbook.nist.gov/cgi/cbook.cgi?ID=C50215&amp;Mask=FFF</x:v>
      </x:c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41" t="str">
        <x:v>Acetophenone</x:v>
      </x:c>
      <x:c r="B9" s="41" t="str">
        <x:v>98-86-2</x:v>
      </x:c>
      <x:c r="C9" s="41" t="str">
        <x:v>C8H8O</x:v>
      </x:c>
      <x:c r="D9" s="48" t="n">
        <x:v>120.14851999999999</x:v>
      </x:c>
      <x:c r="E9" s="48" t="n">
        <x:v>475.25</x:v>
      </x:c>
      <x:c r="F9" s="48" t="n">
        <x:v>293.15</x:v>
      </x:c>
      <x:c r="G9" s="48" t="n">
        <x:v>709.6</x:v>
      </x:c>
      <x:c r="H9" s="41" t="str">
        <x:v>IUPAC</x:v>
      </x:c>
      <x:c r="I9" s="48" t="n">
        <x:v>4010000</x:v>
      </x:c>
      <x:c r="J9" s="41" t="str">
        <x:v>IUPAC</x:v>
      </x:c>
      <x:c r="K9" s="48" t="n">
        <x:v>0.000388</x:v>
      </x:c>
      <x:c r="L9" s="41" t="str">
        <x:v>IUPAC</x:v>
      </x:c>
      <x:c r="M9" s="48" t="n">
        <x:v>0.263711036871303</x:v>
      </x:c>
      <x:c r="N9" s="41" t="str">
        <x:v>Pc*Vc/(R*Tc)</x:v>
      </x:c>
      <x:c r="O9" s="48" t="n">
        <x:v>0.377</x:v>
      </x:c>
      <x:c r="P9" s="41" t="str">
        <x:v>PSRK</x:v>
      </x:c>
      <x:c r="Q9" s="48" t="n">
        <x:v>12.116</x:v>
      </x:c>
      <x:c r="R9" s="41" t="str">
        <x:v>JOBACK</x:v>
      </x:c>
      <x:c r="S9" s="48" t="n">
        <x:v>-142.5</x:v>
      </x:c>
      <x:c r="T9" s="41" t="str">
        <x:v>liquid standard-state value from public data stack</x:v>
      </x:c>
      <x:c r="U9" s="48" t="n">
        <x:v>-16.315789965080373</x:v>
      </x:c>
      <x:c r="V9" s="41" t="str">
        <x:v>liquid standard-state value / phase adjustment from public data stack</x:v>
      </x:c>
      <x:c r="W9" s="48" t="n">
        <x:v>247.77608574569967</x:v>
      </x:c>
      <x:c r="X9" s="41" t="str">
        <x:v>liquid standard-state value / phase adjustment from public data stack</x:v>
      </x:c>
      <x:c r="Y9" s="48" t="n">
        <x:v>-4148.592</x:v>
      </x:c>
      <x:c r="Z9" s="41" t="str">
        <x:v>liquid standard-state public data stack value</x:v>
      </x:c>
      <x:c r="AA9" s="41" t="str">
        <x:v>https://webbook.nist.gov/cgi/cbook.cgi?ID=C98862&amp;Mask=FFF</x:v>
      </x:c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6bd6324e6a8c4e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0" hidden="0" customWidth="1"/>
    <x:col min="5" max="5" width="26" hidden="0" customWidth="1"/>
    <x:col min="6" max="6" width="16" hidden="0" customWidth="1"/>
    <x:col min="7" max="7" width="16" hidden="0" customWidth="1"/>
    <x:col min="8" max="8" width="62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62" hidden="0" customWidth="1"/>
    <x:col min="22" max="22" width="44" hidden="0" customWidth="1"/>
    <x:col min="23" max="23" width="44" hidden="0" customWidth="1"/>
    <x:col min="24" max="24" width="16" hidden="0" customWidth="1"/>
    <x:col min="25" max="25" width="16" hidden="0" customWidth="1"/>
  </x:cols>
  <x:sheetData>
    <x:row r="1">
      <x:c r="A1" s="38" t="str">
        <x:v>Portable temperature-dependent correlations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Compound</x:v>
      </x:c>
      <x:c r="B3" s="40" t="str">
        <x:v>CAS</x:v>
      </x:c>
      <x:c r="C3" s="40" t="str">
        <x:v>Property</x:v>
      </x:c>
      <x:c r="D3" s="40" t="str">
        <x:v>Selected_model</x:v>
      </x:c>
      <x:c r="E3" s="40" t="str">
        <x:v>Model_quality</x:v>
      </x:c>
      <x:c r="F3" s="40" t="str">
        <x:v>Tmin_K</x:v>
      </x:c>
      <x:c r="G3" s="40" t="str">
        <x:v>Tmax_K</x:v>
      </x:c>
      <x:c r="H3" s="40" t="str">
        <x:v>Portable_equation</x:v>
      </x:c>
      <x:c r="I3" s="40" t="str">
        <x:v>Units_note</x:v>
      </x:c>
      <x:c r="J3" s="40" t="str">
        <x:v>A</x:v>
      </x:c>
      <x:c r="K3" s="40" t="str">
        <x:v>B</x:v>
      </x:c>
      <x:c r="L3" s="40" t="str">
        <x:v>C</x:v>
      </x:c>
      <x:c r="M3" s="40" t="str">
        <x:v>D</x:v>
      </x:c>
      <x:c r="N3" s="40" t="str">
        <x:v>E</x:v>
      </x:c>
      <x:c r="O3" s="40" t="str">
        <x:v>F</x:v>
      </x:c>
      <x:c r="P3" s="40" t="str">
        <x:v>n</x:v>
      </x:c>
      <x:c r="Q3" s="40" t="str">
        <x:v>Tc_fit</x:v>
      </x:c>
      <x:c r="R3" s="40" t="str">
        <x:v>Pc_fit</x:v>
      </x:c>
      <x:c r="S3" s="40" t="str">
        <x:v>RMSE_rel_pct</x:v>
      </x:c>
      <x:c r="T3" s="40" t="str">
        <x:v>Max_rel_error_pct</x:v>
      </x:c>
      <x:c r="U3" s="40" t="str">
        <x:v>Original_model_parameters_JSON</x:v>
      </x:c>
      <x:c r="V3" s="40" t="str">
        <x:v>NIST_URL</x:v>
      </x:c>
      <x:c r="W3" s="40" t="str">
        <x:v>Docs_URL</x:v>
      </x:c>
      <x:c r="X3" s="40" t="str">
        <x:v>Value_at_298_15K</x:v>
      </x:c>
      <x:c r="Y3" s="40" t="str">
        <x:v>298K_inside_fit_range</x:v>
      </x:c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41" t="str">
        <x:v>Glycerol</x:v>
      </x:c>
      <x:c r="B4" s="41" t="str">
        <x:v>56-81-5</x:v>
      </x:c>
      <x:c r="C4" s="41" t="str">
        <x:v>Psat</x:v>
      </x:c>
      <x:c r="D4" s="41" t="str">
        <x:v>VDI_PPDS</x:v>
      </x:c>
      <x:c r="E4" s="41" t="str">
        <x:v>Public correlation / fitted data</x:v>
      </x:c>
      <x:c r="F4" s="50" t="n">
        <x:v>293.15</x:v>
      </x:c>
      <x:c r="G4" s="50" t="n">
        <x:v>765</x:v>
      </x:c>
      <x:c r="H4" s="41" t="str">
        <x:v>ln(Psat/Pc) = (A*tau + B*tau^1.5 + C*tau^3 + D*tau^6)/Tr; tau=1-Tr; Tr=T/Tc</x:v>
      </x:c>
      <x:c r="I4" s="41" t="str">
        <x:v>P, Pc in Pa; T,Tc in K</x:v>
      </x:c>
      <x:c r="J4" s="50" t="n">
        <x:v>-6.553108759361042</x:v>
      </x:c>
      <x:c r="K4" s="50" t="n">
        <x:v>-1.8973933471828763</x:v>
      </x:c>
      <x:c r="L4" s="50" t="n">
        <x:v>-5.969120377692061</x:v>
      </x:c>
      <x:c r="M4" s="50" t="n">
        <x:v>0.12086960781796616</x:v>
      </x:c>
      <x:c r="N4" s="50"/>
      <x:c r="O4" s="50"/>
      <x:c r="P4" s="50"/>
      <x:c r="Q4" s="50" t="n">
        <x:v>850</x:v>
      </x:c>
      <x:c r="R4" s="50" t="n">
        <x:v>7500000</x:v>
      </x:c>
      <x:c r="S4" s="50" t="n">
        <x:v>0.1327340374927738</x:v>
      </x:c>
      <x:c r="T4" s="50" t="n">
        <x:v>0.3793283338248769</x:v>
      </x:c>
      <x:c r="U4" s="41" t="str">
        <x:v>{"Wagner_parameters":{"Pc":7500000.0,"Tc":850.05,"Tmax":850.05,"Tmin":291.45,"a":-6.94758,"b":-0.33345,"c":-5.98569,"d":-1.33011}}</x:v>
      </x:c>
      <x:c r="V4" s="41" t="str">
        <x:v>https://webbook.nist.gov/cgi/cbook.cgi?ID=C56815&amp;Mask=FFF</x:v>
      </x:c>
      <x:c r="W4" s="41" t="str">
        <x:v>https://thermo.readthedocs.io/thermo.chemical.html</x:v>
      </x:c>
      <x:c r="X4" s="50" t="n">
        <x:v>0.023250076448826002</x:v>
      </x:c>
      <x:c r="Y4" s="51" t="b">
        <x:v>1</x:v>
      </x:c>
      <x:c r="Z4" s="39"/>
      <x:c r="AA4" s="39"/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41" t="str">
        <x:v>Glycerol</x:v>
      </x:c>
      <x:c r="B5" s="41" t="str">
        <x:v>56-81-5</x:v>
      </x:c>
      <x:c r="C5" s="41" t="str">
        <x:v>Hvap</x:v>
      </x:c>
      <x:c r="D5" s="41" t="str">
        <x:v>VDI_PPDS</x:v>
      </x:c>
      <x:c r="E5" s="41" t="str">
        <x:v>Public correlation / fitted data</x:v>
      </x:c>
      <x:c r="F5" s="50" t="n">
        <x:v>293.15</x:v>
      </x:c>
      <x:c r="G5" s="50" t="n">
        <x:v>765</x:v>
      </x:c>
      <x:c r="H5" s="41" t="str">
        <x:v>ln(Hvap_kJmol) = A + B*ln(tau) + C*tau + D*tau^2; tau=1-T/Tc</x:v>
      </x:c>
      <x:c r="I5" s="41" t="str">
        <x:v>Hvap in kJ/mol; T,Tc in K</x:v>
      </x:c>
      <x:c r="J5" s="50" t="n">
        <x:v>4.381817092236338</x:v>
      </x:c>
      <x:c r="K5" s="50" t="n">
        <x:v>0.37874052203704645</x:v>
      </x:c>
      <x:c r="L5" s="50" t="n">
        <x:v>0.9685610085683587</x:v>
      </x:c>
      <x:c r="M5" s="50" t="n">
        <x:v>-0.9338099876729863</x:v>
      </x:c>
      <x:c r="N5" s="50"/>
      <x:c r="O5" s="50"/>
      <x:c r="P5" s="50"/>
      <x:c r="Q5" s="50" t="n">
        <x:v>850</x:v>
      </x:c>
      <x:c r="R5" s="50"/>
      <x:c r="S5" s="50" t="n">
        <x:v>0.2297487128753635</x:v>
      </x:c>
      <x:c r="T5" s="50" t="n">
        <x:v>0.7223861269458617</x:v>
      </x:c>
      <x:c r="U5" s="41" t="str">
        <x:v>{"PPDS12_parameters":{"A":4.73387,"B":16.62968,"C":-6.646488,"D":2.052518,"E":-13.7713,"Tc":850.05,"Tmax":850.05,"Tmin":85.005}}</x:v>
      </x:c>
      <x:c r="V5" s="41" t="str">
        <x:v>https://webbook.nist.gov/cgi/cbook.cgi?ID=C56815&amp;Mask=FFF</x:v>
      </x:c>
      <x:c r="W5" s="41" t="str">
        <x:v>https://thermo.readthedocs.io/thermo.chemical.html</x:v>
      </x:c>
      <x:c r="X5" s="50" t="n">
        <x:v>85423.29367374067</x:v>
      </x:c>
      <x:c r="Y5" s="51" t="b">
        <x:v>1</x:v>
      </x:c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41" t="str">
        <x:v>Glycerol</x:v>
      </x:c>
      <x:c r="B6" s="41" t="str">
        <x:v>56-81-5</x:v>
      </x:c>
      <x:c r="C6" s="41" t="str">
        <x:v>Cpl</x:v>
      </x:c>
      <x:c r="D6" s="41" t="str">
        <x:v>ZABRANSKY_SPLINE_C</x:v>
      </x:c>
      <x:c r="E6" s="41" t="str">
        <x:v>Public correlation / fitted data</x:v>
      </x:c>
      <x:c r="F6" s="50" t="n">
        <x:v>293.15</x:v>
      </x:c>
      <x:c r="G6" s="50" t="n">
        <x:v>382.7</x:v>
      </x:c>
      <x:c r="H6" s="41" t="str">
        <x:v>Cpl_JmolK = A + B*x + C*x^2 + D*x^3 + E*x^4; x=(T-298.15)/100</x:v>
      </x:c>
      <x:c r="I6" s="41" t="str">
        <x:v>Cp in J/mol/K; T in K</x:v>
      </x:c>
      <x:c r="J6" s="50" t="n">
        <x:v>218.4588511272281</x:v>
      </x:c>
      <x:c r="K6" s="50" t="n">
        <x:v>47.702316945250146</x:v>
      </x:c>
      <x:c r="L6" s="50" t="n">
        <x:v>1.3266202860155935e-11</x:v>
      </x:c>
      <x:c r="M6" s="50" t="n">
        <x:v>-2.7529714297431537e-11</x:v>
      </x:c>
      <x:c r="N6" s="50" t="n">
        <x:v>1.748572765894705e-11</x:v>
      </x:c>
      <x:c r="O6" s="50"/>
      <x:c r="P6" s="50"/>
      <x:c r="Q6" s="50"/>
      <x:c r="R6" s="50"/>
      <x:c r="S6" s="50" t="n">
        <x:v>5.085998821748705e-14</x:v>
      </x:c>
      <x:c r="T6" s="50" t="n">
        <x:v>1.183833771106903e-13</x:v>
      </x:c>
      <x:c r="U6" s="41" t="str">
        <x:v>{"Zabransky_cubic_parameters":{"Tmax":382.7,"Tmin":293.1,"a1":9.16889,"a2":5.73727,"a3":0.0,"a4":0.0}}</x:v>
      </x:c>
      <x:c r="V6" s="41" t="str">
        <x:v>https://webbook.nist.gov/cgi/cbook.cgi?ID=C56815&amp;Mask=FFF</x:v>
      </x:c>
      <x:c r="W6" s="41" t="str">
        <x:v>https://thermo.readthedocs.io/thermo.chemical.html</x:v>
      </x:c>
      <x:c r="X6" s="50" t="n">
        <x:v>218.45885112722797</x:v>
      </x:c>
      <x:c r="Y6" s="51" t="b">
        <x:v>1</x:v>
      </x:c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41" t="str">
        <x:v>Glycerol</x:v>
      </x:c>
      <x:c r="B7" s="41" t="str">
        <x:v>56-81-5</x:v>
      </x:c>
      <x:c r="C7" s="41" t="str">
        <x:v>Cpg</x:v>
      </x:c>
      <x:c r="D7" s="41" t="str">
        <x:v>JOBACK</x:v>
      </x:c>
      <x:c r="E7" s="41" t="str">
        <x:v>Engineering estimate</x:v>
      </x:c>
      <x:c r="F7" s="50" t="n">
        <x:v>291.03</x:v>
      </x:c>
      <x:c r="G7" s="50" t="n">
        <x:v>1000</x:v>
      </x:c>
      <x:c r="H7" s="41" t="str">
        <x:v>Cpg_JmolK = A + B*x + C*x^2 + D*x^3 + E*x^4; x=(T-298.15)/100</x:v>
      </x:c>
      <x:c r="I7" s="41" t="str">
        <x:v>Cp in J/mol/K; T in K</x:v>
      </x:c>
      <x:c r="J7" s="50" t="n">
        <x:v>113.2601136667413</x:v>
      </x:c>
      <x:c r="K7" s="50" t="n">
        <x:v>27.152578628449945</x:v>
      </x:c>
      <x:c r="L7" s="50" t="n">
        <x:v>-1.8603636999999609</x:v>
      </x:c>
      <x:c r="M7" s="50" t="n">
        <x:v>0.05339999999999044</x:v>
      </x:c>
      <x:c r="N7" s="50" t="n">
        <x:v>7.968828877716617e-16</x:v>
      </x:c>
      <x:c r="O7" s="50"/>
      <x:c r="P7" s="50"/>
      <x:c r="Q7" s="50"/>
      <x:c r="R7" s="50"/>
      <x:c r="S7" s="50" t="n">
        <x:v>5.167117301993936e-14</x:v>
      </x:c>
      <x:c r="T7" s="50" t="n">
        <x:v>1.1168876534773818e-13</x:v>
      </x:c>
      <x:c r="U7" s="41" t="str">
        <x:v>{"DIPPR100_parameters":{"A":14.352,"B":0.3967,"C":-0.0002338,"D":5.34e-08,"Tmax":1757.3634749999999,"Tmin":291.03}}</x:v>
      </x:c>
      <x:c r="V7" s="41" t="str">
        <x:v>https://webbook.nist.gov/cgi/cbook.cgi?ID=C56815&amp;Mask=FFF</x:v>
      </x:c>
      <x:c r="W7" s="41" t="str">
        <x:v>https://thermo.readthedocs.io/thermo.chemical.html</x:v>
      </x:c>
      <x:c r="X7" s="50" t="n">
        <x:v>113.26011366674123</x:v>
      </x:c>
      <x:c r="Y7" s="51" t="b">
        <x:v>1</x:v>
      </x:c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41" t="str">
        <x:v>Glycerol</x:v>
      </x:c>
      <x:c r="B8" s="41" t="str">
        <x:v>56-81-5</x:v>
      </x:c>
      <x:c r="C8" s="41" t="str">
        <x:v>rhol</x:v>
      </x:c>
      <x:c r="D8" s="41" t="str">
        <x:v>VDI_PPDS</x:v>
      </x:c>
      <x:c r="E8" s="41" t="str">
        <x:v>Public correlation / fitted data</x:v>
      </x:c>
      <x:c r="F8" s="50" t="n">
        <x:v>293.15</x:v>
      </x:c>
      <x:c r="G8" s="50" t="n">
        <x:v>765</x:v>
      </x:c>
      <x:c r="H8" s="41" t="str">
        <x:v>rhoL_kgm3 = A + B*x + C*x^2 + D*x^3; x=(T-298.15)/100</x:v>
      </x:c>
      <x:c r="I8" s="41" t="str">
        <x:v>rho in kg/m^3; T in K</x:v>
      </x:c>
      <x:c r="J8" s="50" t="n">
        <x:v>1259.721890563981</x:v>
      </x:c>
      <x:c r="K8" s="50" t="n">
        <x:v>-71.18792822567607</x:v>
      </x:c>
      <x:c r="L8" s="50" t="n">
        <x:v>2.7601346197831544</x:v>
      </x:c>
      <x:c r="M8" s="50" t="n">
        <x:v>-1.6526551158671323</x:v>
      </x:c>
      <x:c r="N8" s="50"/>
      <x:c r="O8" s="50"/>
      <x:c r="P8" s="50"/>
      <x:c r="Q8" s="50"/>
      <x:c r="R8" s="50"/>
      <x:c r="S8" s="50" t="n">
        <x:v>0.11497498603372942</x:v>
      </x:c>
      <x:c r="T8" s="50" t="n">
        <x:v>0.515445695249872</x:v>
      </x:c>
      <x:c r="U8" s="41" t="str">
        <x:v>{"volume_VDI_PPDS_parameters":{"MW":92.09,"Tc":850.05,"Tmax":850.05,"Tmin":255.015,"a":1341.5932,"b":-1168.205,"c":1429.7634,"d":-527.771,"rhoc":349.0}}</x:v>
      </x:c>
      <x:c r="V8" s="41" t="str">
        <x:v>https://webbook.nist.gov/cgi/cbook.cgi?ID=C56815&amp;Mask=FFF</x:v>
      </x:c>
      <x:c r="W8" s="41" t="str">
        <x:v>https://thermo.readthedocs.io/thermo.chemical.html</x:v>
      </x:c>
      <x:c r="X8" s="50" t="n">
        <x:v>1258.070670377111</x:v>
      </x:c>
      <x:c r="Y8" s="51" t="b">
        <x:v>1</x:v>
      </x:c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41" t="str">
        <x:v>Glycerol</x:v>
      </x:c>
      <x:c r="B9" s="41" t="str">
        <x:v>56-81-5</x:v>
      </x:c>
      <x:c r="C9" s="41" t="str">
        <x:v>mul</x:v>
      </x:c>
      <x:c r="D9" s="41" t="str">
        <x:v>VDI_PPDS</x:v>
      </x:c>
      <x:c r="E9" s="41" t="str">
        <x:v>Public correlation / fitted data</x:v>
      </x:c>
      <x:c r="F9" s="50" t="n">
        <x:v>293.15</x:v>
      </x:c>
      <x:c r="G9" s="50" t="n">
        <x:v>516.4080562711873</x:v>
      </x:c>
      <x:c r="H9" s="41" t="str">
        <x:v>ln(muL_Pas) = A + B*x + C*x^2 + D*x^3 + E*x^4 + F*x^5; x=(T-298.15)/100</x:v>
      </x:c>
      <x:c r="I9" s="41" t="str">
        <x:v>mu in Pa*s; T in K</x:v>
      </x:c>
      <x:c r="J9" s="50" t="n">
        <x:v>-0.07553121953056813</x:v>
      </x:c>
      <x:c r="K9" s="50" t="n">
        <x:v>-8.388181235318127</x:v>
      </x:c>
      <x:c r="L9" s="50" t="n">
        <x:v>5.04343607911661</x:v>
      </x:c>
      <x:c r="M9" s="50" t="n">
        <x:v>-2.0356971732527063</x:v>
      </x:c>
      <x:c r="N9" s="50" t="n">
        <x:v>0.5310904602862176</x:v>
      </x:c>
      <x:c r="O9" s="50" t="n">
        <x:v>-0.058876842290594845</x:v>
      </x:c>
      <x:c r="P9" s="50"/>
      <x:c r="Q9" s="50"/>
      <x:c r="R9" s="50"/>
      <x:c r="S9" s="50" t="n">
        <x:v>0.10617057277824724</x:v>
      </x:c>
      <x:c r="T9" s="50" t="n">
        <x:v>0.33681282985032523</x:v>
      </x:c>
      <x:c r="U9" s="41" t="str">
        <x:v>{"PPDS9_parameters":{"A":-3.9115300000000004,"B":6.54946,"C":582.48,"D":73.885,"E":0.0079964,"Tmax":516.4080562711873,"Tmin":291.15}}</x:v>
      </x:c>
      <x:c r="V9" s="41" t="str">
        <x:v>https://webbook.nist.gov/cgi/cbook.cgi?ID=C56815&amp;Mask=FFF</x:v>
      </x:c>
      <x:c r="W9" s="41" t="str">
        <x:v>https://thermo.readthedocs.io/thermo.chemical.html</x:v>
      </x:c>
      <x:c r="X9" s="50" t="n">
        <x:v>0.9275999799980705</x:v>
      </x:c>
      <x:c r="Y9" s="51" t="b">
        <x:v>1</x:v>
      </x:c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41" t="str">
        <x:v>Glycerol</x:v>
      </x:c>
      <x:c r="B10" s="41" t="str">
        <x:v>56-81-5</x:v>
      </x:c>
      <x:c r="C10" s="41" t="str">
        <x:v>mug</x:v>
      </x:c>
      <x:c r="D10" s="41" t="str">
        <x:v>VDI_PPDS</x:v>
      </x:c>
      <x:c r="E10" s="41" t="str">
        <x:v>Public correlation / fitted data</x:v>
      </x:c>
      <x:c r="F10" s="50" t="n">
        <x:v>250</x:v>
      </x:c>
      <x:c r="G10" s="50" t="n">
        <x:v>1000</x:v>
      </x:c>
      <x:c r="H10" s="41" t="str">
        <x:v>muG_uPas = A + B*x + C*x^2 + D*x^3 + E*x^4 + F*x^5; x=(T-298.15)/100</x:v>
      </x:c>
      <x:c r="I10" s="41" t="str">
        <x:v>mu in microPa*s; T in K</x:v>
      </x:c>
      <x:c r="J10" s="50" t="n">
        <x:v>6.772424942579998</x:v>
      </x:c>
      <x:c r="K10" s="50" t="n">
        <x:v>2.28615864</x:v>
      </x:c>
      <x:c r="L10" s="50" t="n">
        <x:v>0.0032800000000028397</x:v>
      </x:c>
      <x:c r="M10" s="50" t="n">
        <x:v>-1.92323369040518e-15</x:v>
      </x:c>
      <x:c r="N10" s="50" t="n">
        <x:v>3.638644415362785e-16</x:v>
      </x:c>
      <x:c r="O10" s="50" t="n">
        <x:v>-2.050682936426987e-17</x:v>
      </x:c>
      <x:c r="P10" s="50"/>
      <x:c r="Q10" s="50"/>
      <x:c r="R10" s="50"/>
      <x:c r="S10" s="50" t="n">
        <x:v>2.5951252525351267e-14</x:v>
      </x:c>
      <x:c r="T10" s="50" t="n">
        <x:v>6.296060342016647e-14</x:v>
      </x:c>
      <x:c r="U10" s="41" t="str">
        <x:v>{"DIPPR100_parameters":{"A":-1.46e-08,"B":2.2666e-08,"C":3.2799999999999997e-13,"D":0.0,"E":0.0,"Tmax":10000,"Tmin":0.001}}</x:v>
      </x:c>
      <x:c r="V10" s="41" t="str">
        <x:v>https://webbook.nist.gov/cgi/cbook.cgi?ID=C56815&amp;Mask=FFF</x:v>
      </x:c>
      <x:c r="W10" s="41" t="str">
        <x:v>https://thermo.readthedocs.io/thermo.chemical.html</x:v>
      </x:c>
      <x:c r="X10" s="50" t="n">
        <x:v>0.000006772424942579999</x:v>
      </x:c>
      <x:c r="Y10" s="51" t="b">
        <x:v>1</x:v>
      </x:c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41" t="str">
        <x:v>Aniline</x:v>
      </x:c>
      <x:c r="B11" s="41" t="str">
        <x:v>62-53-3</x:v>
      </x:c>
      <x:c r="C11" s="41" t="str">
        <x:v>Psat</x:v>
      </x:c>
      <x:c r="D11" s="41" t="str">
        <x:v>VDI_PPDS</x:v>
      </x:c>
      <x:c r="E11" s="41" t="str">
        <x:v>Public correlation / fitted data</x:v>
      </x:c>
      <x:c r="F11" s="50" t="n">
        <x:v>269.15</x:v>
      </x:c>
      <x:c r="G11" s="50" t="n">
        <x:v>634.5</x:v>
      </x:c>
      <x:c r="H11" s="41" t="str">
        <x:v>ln(Psat/Pc) = (A*tau + B*tau^1.5 + C*tau^3 + D*tau^6)/Tr; tau=1-Tr; Tr=T/Tc</x:v>
      </x:c>
      <x:c r="I11" s="41" t="str">
        <x:v>P, Pc in Pa; T,Tc in K</x:v>
      </x:c>
      <x:c r="J11" s="50" t="n">
        <x:v>-7.5792573453628505</x:v>
      </x:c>
      <x:c r="K11" s="50" t="n">
        <x:v>1.1147661123068657</x:v>
      </x:c>
      <x:c r="L11" s="50" t="n">
        <x:v>-3.9078967957284654</x:v>
      </x:c>
      <x:c r="M11" s="50" t="n">
        <x:v>-1.0694880596560008</x:v>
      </x:c>
      <x:c r="N11" s="50"/>
      <x:c r="O11" s="50"/>
      <x:c r="P11" s="50"/>
      <x:c r="Q11" s="50" t="n">
        <x:v>705</x:v>
      </x:c>
      <x:c r="R11" s="50" t="n">
        <x:v>5630000</x:v>
      </x:c>
      <x:c r="S11" s="50" t="n">
        <x:v>0.026069513488079125</x:v>
      </x:c>
      <x:c r="T11" s="50" t="n">
        <x:v>0.06311359381417637</x:v>
      </x:c>
      <x:c r="U11" s="41" t="str">
        <x:v>{"Wagner_parameters":{"Pc":5310000.0,"Tc":699.05,"Tmax":699.05,"Tmin":267.15,"a":-7.86006,"b":1.96206,"c":-3.65571,"d":-2.00622}}</x:v>
      </x:c>
      <x:c r="V11" s="41" t="str">
        <x:v>https://webbook.nist.gov/cgi/cbook.cgi?ID=C62533&amp;Mask=FFF</x:v>
      </x:c>
      <x:c r="W11" s="41" t="str">
        <x:v>https://thermo.readthedocs.io/thermo.chemical.html</x:v>
      </x:c>
      <x:c r="X11" s="50" t="n">
        <x:v>88.90282363503431</x:v>
      </x:c>
      <x:c r="Y11" s="51" t="b">
        <x:v>1</x:v>
      </x:c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41" t="str">
        <x:v>Aniline</x:v>
      </x:c>
      <x:c r="B12" s="41" t="str">
        <x:v>62-53-3</x:v>
      </x:c>
      <x:c r="C12" s="41" t="str">
        <x:v>Hvap</x:v>
      </x:c>
      <x:c r="D12" s="41" t="str">
        <x:v>VDI_PPDS</x:v>
      </x:c>
      <x:c r="E12" s="41" t="str">
        <x:v>Public correlation / fitted data</x:v>
      </x:c>
      <x:c r="F12" s="50" t="n">
        <x:v>269.15</x:v>
      </x:c>
      <x:c r="G12" s="50" t="n">
        <x:v>634.5</x:v>
      </x:c>
      <x:c r="H12" s="41" t="str">
        <x:v>ln(Hvap_kJmol) = A + B*ln(tau) + C*tau + D*tau^2; tau=1-T/Tc</x:v>
      </x:c>
      <x:c r="I12" s="41" t="str">
        <x:v>Hvap in kJ/mol; T,Tc in K</x:v>
      </x:c>
      <x:c r="J12" s="50" t="n">
        <x:v>4.450612240386634</x:v>
      </x:c>
      <x:c r="K12" s="50" t="n">
        <x:v>0.4866440014552167</x:v>
      </x:c>
      <x:c r="L12" s="50" t="n">
        <x:v>-0.48375984762783386</x:v>
      </x:c>
      <x:c r="M12" s="50" t="n">
        <x:v>0.21580004249468565</x:v>
      </x:c>
      <x:c r="N12" s="50"/>
      <x:c r="O12" s="50"/>
      <x:c r="P12" s="50"/>
      <x:c r="Q12" s="50" t="n">
        <x:v>705</x:v>
      </x:c>
      <x:c r="R12" s="50"/>
      <x:c r="S12" s="50" t="n">
        <x:v>0.039533227651866024</x:v>
      </x:c>
      <x:c r="T12" s="50" t="n">
        <x:v>0.13156383605725533</x:v>
      </x:c>
      <x:c r="U12" s="41" t="str">
        <x:v>{"PPDS12_parameters":{"A":7.07225,"B":8.70667,"C":-3.991451,"D":-1.65652,"E":3.263408,"Tc":699.05,"Tmax":699.05,"Tmin":69.905}}</x:v>
      </x:c>
      <x:c r="V12" s="41" t="str">
        <x:v>https://webbook.nist.gov/cgi/cbook.cgi?ID=C62533&amp;Mask=FFF</x:v>
      </x:c>
      <x:c r="W12" s="41" t="str">
        <x:v>https://thermo.readthedocs.io/thermo.chemical.html</x:v>
      </x:c>
      <x:c r="X12" s="50" t="n">
        <x:v>53286.24715701117</x:v>
      </x:c>
      <x:c r="Y12" s="51" t="b">
        <x:v>1</x:v>
      </x:c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41" t="str">
        <x:v>Aniline</x:v>
      </x:c>
      <x:c r="B13" s="41" t="str">
        <x:v>62-53-3</x:v>
      </x:c>
      <x:c r="C13" s="41" t="str">
        <x:v>Cpl</x:v>
      </x:c>
      <x:c r="D13" s="41" t="str">
        <x:v>ZABRANSKY_SPLINE_C</x:v>
      </x:c>
      <x:c r="E13" s="41" t="str">
        <x:v>Public correlation / fitted data</x:v>
      </x:c>
      <x:c r="F13" s="50" t="n">
        <x:v>270.2</x:v>
      </x:c>
      <x:c r="G13" s="50" t="n">
        <x:v>634.5</x:v>
      </x:c>
      <x:c r="H13" s="41" t="str">
        <x:v>Cpl_JmolK = A + B*x + C*x^2 + D*x^3 + E*x^4; x=(T-298.15)/100</x:v>
      </x:c>
      <x:c r="I13" s="41" t="str">
        <x:v>Cp in J/mol/K; T in K</x:v>
      </x:c>
      <x:c r="J13" s="50" t="n">
        <x:v>191.04062721427505</x:v>
      </x:c>
      <x:c r="K13" s="50" t="n">
        <x:v>12.210785440681327</x:v>
      </x:c>
      <x:c r="L13" s="50" t="n">
        <x:v>10.978696307413871</x:v>
      </x:c>
      <x:c r="M13" s="50" t="n">
        <x:v>-3.6481999566663452</x:v>
      </x:c>
      <x:c r="N13" s="50" t="n">
        <x:v>0.4585804730536751</x:v>
      </x:c>
      <x:c r="O13" s="50"/>
      <x:c r="P13" s="50"/>
      <x:c r="Q13" s="50"/>
      <x:c r="R13" s="50"/>
      <x:c r="S13" s="50" t="n">
        <x:v>0.41465311659374376</x:v>
      </x:c>
      <x:c r="T13" s="50" t="n">
        <x:v>1.4794078948343625</x:v>
      </x:c>
      <x:c r="U13" s="41" t="str">
        <x:v>{}</x:v>
      </x:c>
      <x:c r="V13" s="41" t="str">
        <x:v>https://webbook.nist.gov/cgi/cbook.cgi?ID=C62533&amp;Mask=FFF</x:v>
      </x:c>
      <x:c r="W13" s="41" t="str">
        <x:v>https://thermo.readthedocs.io/thermo.chemical.html</x:v>
      </x:c>
      <x:c r="X13" s="50" t="n">
        <x:v>191.45031410549737</x:v>
      </x:c>
      <x:c r="Y13" s="51" t="b">
        <x:v>1</x:v>
      </x:c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41" t="str">
        <x:v>Aniline</x:v>
      </x:c>
      <x:c r="B14" s="41" t="str">
        <x:v>62-53-3</x:v>
      </x:c>
      <x:c r="C14" s="41" t="str">
        <x:v>Cpg</x:v>
      </x:c>
      <x:c r="D14" s="41" t="str">
        <x:v>TRCIG</x:v>
      </x:c>
      <x:c r="E14" s="41" t="str">
        <x:v>Public correlation / fitted data</x:v>
      </x:c>
      <x:c r="F14" s="50" t="n">
        <x:v>250</x:v>
      </x:c>
      <x:c r="G14" s="50" t="n">
        <x:v>1000</x:v>
      </x:c>
      <x:c r="H14" s="41" t="str">
        <x:v>Cpg_JmolK = A + B*x + C*x^2 + D*x^3 + E*x^4; x=(T-298.15)/100</x:v>
      </x:c>
      <x:c r="I14" s="41" t="str">
        <x:v>Cp in J/mol/K; T in K</x:v>
      </x:c>
      <x:c r="J14" s="50" t="n">
        <x:v>108.25571705359563</x:v>
      </x:c>
      <x:c r="K14" s="50" t="n">
        <x:v>36.30907878159318</x:v>
      </x:c>
      <x:c r="L14" s="50" t="n">
        <x:v>-2.98512671567527</x:v>
      </x:c>
      <x:c r="M14" s="50" t="n">
        <x:v>0.058131372461285614</x:v>
      </x:c>
      <x:c r="N14" s="50" t="n">
        <x:v>0.004958449498807699</x:v>
      </x:c>
      <x:c r="O14" s="50"/>
      <x:c r="P14" s="50"/>
      <x:c r="Q14" s="50"/>
      <x:c r="R14" s="50"/>
      <x:c r="S14" s="50" t="n">
        <x:v>0.06830157901360781</x:v>
      </x:c>
      <x:c r="T14" s="50" t="n">
        <x:v>0.36718078739752735</x:v>
      </x:c>
      <x:c r="U14" s="41" t="str">
        <x:v>{"TRCCp_parameters":{"Tmax":3000.0,"Tmin":50.0,"a0":4.0,"a1":1659000.0,"a2":490.0,"a3":41.778,"a4":-3.6,"a5":-7120000.0,"a6":120.0,"a7":149.0}}</x:v>
      </x:c>
      <x:c r="V14" s="41" t="str">
        <x:v>https://webbook.nist.gov/cgi/cbook.cgi?ID=C62533&amp;Mask=FFF</x:v>
      </x:c>
      <x:c r="W14" s="41" t="str">
        <x:v>https://thermo.readthedocs.io/thermo.chemical.html</x:v>
      </x:c>
      <x:c r="X14" s="50" t="n">
        <x:v>108.1372518088603</x:v>
      </x:c>
      <x:c r="Y14" s="51" t="b">
        <x:v>1</x:v>
      </x:c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41" t="str">
        <x:v>Aniline</x:v>
      </x:c>
      <x:c r="B15" s="41" t="str">
        <x:v>62-53-3</x:v>
      </x:c>
      <x:c r="C15" s="41" t="str">
        <x:v>rhol</x:v>
      </x:c>
      <x:c r="D15" s="41" t="str">
        <x:v>VDI_PPDS</x:v>
      </x:c>
      <x:c r="E15" s="41" t="str">
        <x:v>Public correlation / fitted data</x:v>
      </x:c>
      <x:c r="F15" s="50" t="n">
        <x:v>269.15</x:v>
      </x:c>
      <x:c r="G15" s="50" t="n">
        <x:v>634.5</x:v>
      </x:c>
      <x:c r="H15" s="41" t="str">
        <x:v>rhoL_kgm3 = A + B*x + C*x^2 + D*x^3; x=(T-298.15)/100</x:v>
      </x:c>
      <x:c r="I15" s="41" t="str">
        <x:v>rho in kg/m^3; T in K</x:v>
      </x:c>
      <x:c r="J15" s="50" t="n">
        <x:v>1016.0418862578765</x:v>
      </x:c>
      <x:c r="K15" s="50" t="n">
        <x:v>-84.13972282789646</x:v>
      </x:c>
      <x:c r="L15" s="50" t="n">
        <x:v>2.18404882556745</x:v>
      </x:c>
      <x:c r="M15" s="50" t="n">
        <x:v>-2.7374904034830094</x:v>
      </x:c>
      <x:c r="N15" s="50"/>
      <x:c r="O15" s="50"/>
      <x:c r="P15" s="50"/>
      <x:c r="Q15" s="50"/>
      <x:c r="R15" s="50"/>
      <x:c r="S15" s="50" t="n">
        <x:v>0.10691553761186928</x:v>
      </x:c>
      <x:c r="T15" s="50" t="n">
        <x:v>0.479550651756666</x:v>
      </x:c>
      <x:c r="U15" s="41" t="str">
        <x:v>{"volume_VDI_PPDS_parameters":{"MW":93.13,"Tc":699.05,"Tmax":699.05,"Tmin":209.71499999999997,"a":658.6221,"b":-14.6944,"c":242.093,"d":0.7157,"rhoc":345.0}}</x:v>
      </x:c>
      <x:c r="V15" s="41" t="str">
        <x:v>https://webbook.nist.gov/cgi/cbook.cgi?ID=C62533&amp;Mask=FFF</x:v>
      </x:c>
      <x:c r="W15" s="41" t="str">
        <x:v>https://thermo.readthedocs.io/thermo.chemical.html</x:v>
      </x:c>
      <x:c r="X15" s="50" t="n">
        <x:v>1016.1500162375931</x:v>
      </x:c>
      <x:c r="Y15" s="51" t="b">
        <x:v>1</x:v>
      </x:c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41" t="str">
        <x:v>Aniline</x:v>
      </x:c>
      <x:c r="B16" s="41" t="str">
        <x:v>62-53-3</x:v>
      </x:c>
      <x:c r="C16" s="41" t="str">
        <x:v>mul</x:v>
      </x:c>
      <x:c r="D16" s="41" t="str">
        <x:v>VDI_PPDS</x:v>
      </x:c>
      <x:c r="E16" s="41" t="str">
        <x:v>Public correlation / fitted data</x:v>
      </x:c>
      <x:c r="F16" s="50" t="n">
        <x:v>269.15</x:v>
      </x:c>
      <x:c r="G16" s="50" t="n">
        <x:v>461.01099999999997</x:v>
      </x:c>
      <x:c r="H16" s="41" t="str">
        <x:v>ln(muL_Pas) = A + B*x + C*x^2 + D*x^3 + E*x^4 + F*x^5; x=(T-298.15)/100</x:v>
      </x:c>
      <x:c r="I16" s="41" t="str">
        <x:v>mu in Pa*s; T in K</x:v>
      </x:c>
      <x:c r="J16" s="50" t="n">
        <x:v>-5.564489966431147</x:v>
      </x:c>
      <x:c r="K16" s="50" t="n">
        <x:v>-3.215283165757826</x:v>
      </x:c>
      <x:c r="L16" s="50" t="n">
        <x:v>2.5014251839308375</x:v>
      </x:c>
      <x:c r="M16" s="50" t="n">
        <x:v>-1.8808093506405108</x:v>
      </x:c>
      <x:c r="N16" s="50" t="n">
        <x:v>1.059869879601775</x:v>
      </x:c>
      <x:c r="O16" s="50" t="n">
        <x:v>-0.27787724537751474</x:v>
      </x:c>
      <x:c r="P16" s="50"/>
      <x:c r="Q16" s="50"/>
      <x:c r="R16" s="50"/>
      <x:c r="S16" s="50" t="n">
        <x:v>0.47468841112790466</x:v>
      </x:c>
      <x:c r="T16" s="50" t="n">
        <x:v>3.0709404127884894</x:v>
      </x:c>
      <x:c r="U16" s="41" t="str">
        <x:v>{"PPDS9_parameters":{"A":0.8575,"B":1.71069,"C":462.01099999999997,"D":136.981,"E":0.00028187,"Tmax":461.01099999999997,"Tmin":267.15}}</x:v>
      </x:c>
      <x:c r="V16" s="41" t="str">
        <x:v>https://webbook.nist.gov/cgi/cbook.cgi?ID=C62533&amp;Mask=FFF</x:v>
      </x:c>
      <x:c r="W16" s="41" t="str">
        <x:v>https://thermo.readthedocs.io/thermo.chemical.html</x:v>
      </x:c>
      <x:c r="X16" s="50" t="n">
        <x:v>0.0038375433579920792</x:v>
      </x:c>
      <x:c r="Y16" s="51" t="b">
        <x:v>1</x:v>
      </x:c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41" t="str">
        <x:v>Aniline</x:v>
      </x:c>
      <x:c r="B17" s="41" t="str">
        <x:v>62-53-3</x:v>
      </x:c>
      <x:c r="C17" s="41" t="str">
        <x:v>mug</x:v>
      </x:c>
      <x:c r="D17" s="41" t="str">
        <x:v>VDI_PPDS</x:v>
      </x:c>
      <x:c r="E17" s="41" t="str">
        <x:v>Public correlation / fitted data</x:v>
      </x:c>
      <x:c r="F17" s="50" t="n">
        <x:v>250</x:v>
      </x:c>
      <x:c r="G17" s="50" t="n">
        <x:v>1000</x:v>
      </x:c>
      <x:c r="H17" s="41" t="str">
        <x:v>muG_uPas = A + B*x + C*x^2 + D*x^3 + E*x^4 + F*x^5; x=(T-298.15)/100</x:v>
      </x:c>
      <x:c r="I17" s="41" t="str">
        <x:v>mu in microPa*s; T in K</x:v>
      </x:c>
      <x:c r="J17" s="50" t="n">
        <x:v>6.6531223061524996</x:v>
      </x:c>
      <x:c r="K17" s="50" t="n">
        <x:v>2.4324944700000097</x:v>
      </x:c>
      <x:c r="L17" s="50" t="n">
        <x:v>-0.03931000000000887</x:v>
      </x:c>
      <x:c r="M17" s="50" t="n">
        <x:v>3.5397822937266153e-15</x:v>
      </x:c>
      <x:c r="N17" s="50" t="n">
        <x:v>-6.741902458982817e-16</x:v>
      </x:c>
      <x:c r="O17" s="50" t="n">
        <x:v>4.7444982604310815e-17</x:v>
      </x:c>
      <x:c r="P17" s="50"/>
      <x:c r="Q17" s="50"/>
      <x:c r="R17" s="50"/>
      <x:c r="S17" s="50" t="n">
        <x:v>3.573513715537306e-14</x:v>
      </x:c>
      <x:c r="T17" s="50" t="n">
        <x:v>1.3929521928438704e-13</x:v>
      </x:c>
      <x:c r="U17" s="41" t="str">
        <x:v>{"DIPPR100_parameters":{"A":-9.487999999999999e-07,"B":2.6669000000000002e-08,"C":-3.931e-12,"D":0.0,"E":0.0,"Tmax":10000,"Tmin":0.001}}</x:v>
      </x:c>
      <x:c r="V17" s="41" t="str">
        <x:v>https://webbook.nist.gov/cgi/cbook.cgi?ID=C62533&amp;Mask=FFF</x:v>
      </x:c>
      <x:c r="W17" s="41" t="str">
        <x:v>https://thermo.readthedocs.io/thermo.chemical.html</x:v>
      </x:c>
      <x:c r="X17" s="50" t="n">
        <x:v>0.0000066531223061525</x:v>
      </x:c>
      <x:c r="Y17" s="51" t="b">
        <x:v>1</x:v>
      </x:c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41" t="str">
        <x:v>Pyridine</x:v>
      </x:c>
      <x:c r="B18" s="41" t="str">
        <x:v>110-86-1</x:v>
      </x:c>
      <x:c r="C18" s="41" t="str">
        <x:v>Psat</x:v>
      </x:c>
      <x:c r="D18" s="41" t="str">
        <x:v>VDI_PPDS</x:v>
      </x:c>
      <x:c r="E18" s="41" t="str">
        <x:v>Public correlation / fitted data</x:v>
      </x:c>
      <x:c r="F18" s="50" t="n">
        <x:v>233.15</x:v>
      </x:c>
      <x:c r="G18" s="50" t="n">
        <x:v>558</x:v>
      </x:c>
      <x:c r="H18" s="41" t="str">
        <x:v>ln(Psat/Pc) = (A*tau + B*tau^1.5 + C*tau^3 + D*tau^6)/Tr; tau=1-Tr; Tr=T/Tc</x:v>
      </x:c>
      <x:c r="I18" s="41" t="str">
        <x:v>P, Pc in Pa; T,Tc in K</x:v>
      </x:c>
      <x:c r="J18" s="50" t="n">
        <x:v>-7.075847042326766</x:v>
      </x:c>
      <x:c r="K18" s="50" t="n">
        <x:v>1.2389548469165423</x:v>
      </x:c>
      <x:c r="L18" s="50" t="n">
        <x:v>-2.9114950257885694</x:v>
      </x:c>
      <x:c r="M18" s="50" t="n">
        <x:v>-2.4585989803363946</x:v>
      </x:c>
      <x:c r="N18" s="50"/>
      <x:c r="O18" s="50"/>
      <x:c r="P18" s="50"/>
      <x:c r="Q18" s="50" t="n">
        <x:v>620</x:v>
      </x:c>
      <x:c r="R18" s="50" t="n">
        <x:v>5650000</x:v>
      </x:c>
      <x:c r="S18" s="50" t="n">
        <x:v>0.017413767780013904</x:v>
      </x:c>
      <x:c r="T18" s="50" t="n">
        <x:v>0.061602799788583254</x:v>
      </x:c>
      <x:c r="U18" s="41" t="str">
        <x:v>{"Wagner_parameters":{"Pc":5630000.0,"Tc":620.0,"Tmax":620.0,"Tmin":231.45,"a":-7.07868,"b":1.45189,"c":-2.11714,"d":-3.20359}}</x:v>
      </x:c>
      <x:c r="V18" s="41" t="str">
        <x:v>https://webbook.nist.gov/cgi/cbook.cgi?ID=C110861&amp;Mask=FFF</x:v>
      </x:c>
      <x:c r="W18" s="41" t="str">
        <x:v>https://thermo.readthedocs.io/thermo.chemical.html</x:v>
      </x:c>
      <x:c r="X18" s="50" t="n">
        <x:v>2767.1167144687324</x:v>
      </x:c>
      <x:c r="Y18" s="51" t="b">
        <x:v>1</x:v>
      </x:c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41" t="str">
        <x:v>Pyridine</x:v>
      </x:c>
      <x:c r="B19" s="41" t="str">
        <x:v>110-86-1</x:v>
      </x:c>
      <x:c r="C19" s="41" t="str">
        <x:v>Hvap</x:v>
      </x:c>
      <x:c r="D19" s="41" t="str">
        <x:v>VDI_PPDS</x:v>
      </x:c>
      <x:c r="E19" s="41" t="str">
        <x:v>Public correlation / fitted data</x:v>
      </x:c>
      <x:c r="F19" s="50" t="n">
        <x:v>233.15</x:v>
      </x:c>
      <x:c r="G19" s="50" t="n">
        <x:v>558</x:v>
      </x:c>
      <x:c r="H19" s="41" t="str">
        <x:v>ln(Hvap_kJmol) = A + B*ln(tau) + C*tau + D*tau^2; tau=1-T/Tc</x:v>
      </x:c>
      <x:c r="I19" s="41" t="str">
        <x:v>Hvap in kJ/mol; T,Tc in K</x:v>
      </x:c>
      <x:c r="J19" s="50" t="n">
        <x:v>4.102329358826295</x:v>
      </x:c>
      <x:c r="K19" s="50" t="n">
        <x:v>0.44088445570867907</x:v>
      </x:c>
      <x:c r="L19" s="50" t="n">
        <x:v>-0.38075107437460803</x:v>
      </x:c>
      <x:c r="M19" s="50" t="n">
        <x:v>0.2876040933513258</x:v>
      </x:c>
      <x:c r="N19" s="50"/>
      <x:c r="O19" s="50"/>
      <x:c r="P19" s="50"/>
      <x:c r="Q19" s="50" t="n">
        <x:v>620</x:v>
      </x:c>
      <x:c r="R19" s="50"/>
      <x:c r="S19" s="50" t="n">
        <x:v>0.08850233832776568</x:v>
      </x:c>
      <x:c r="T19" s="50" t="n">
        <x:v>0.2620982284126523</x:v>
      </x:c>
      <x:c r="U19" s="41" t="str">
        <x:v>{"PPDS12_parameters":{"A":6.78808,"B":5.1913,"C":-1.422034,"D":-1.391907,"E":4.49126,"Tc":620.0,"Tmax":620.0,"Tmin":62.0}}</x:v>
      </x:c>
      <x:c r="V19" s="41" t="str">
        <x:v>https://webbook.nist.gov/cgi/cbook.cgi?ID=C110861&amp;Mask=FFF</x:v>
      </x:c>
      <x:c r="W19" s="41" t="str">
        <x:v>https://thermo.readthedocs.io/thermo.chemical.html</x:v>
      </x:c>
      <x:c r="X19" s="50" t="n">
        <x:v>40122.30865098746</x:v>
      </x:c>
      <x:c r="Y19" s="51" t="b">
        <x:v>1</x:v>
      </x:c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41" t="str">
        <x:v>Pyridine</x:v>
      </x:c>
      <x:c r="B20" s="41" t="str">
        <x:v>110-86-1</x:v>
      </x:c>
      <x:c r="C20" s="41" t="str">
        <x:v>Cpl</x:v>
      </x:c>
      <x:c r="D20" s="41" t="str">
        <x:v>ZABRANSKY_SPLINE_C</x:v>
      </x:c>
      <x:c r="E20" s="41" t="str">
        <x:v>Public correlation / fitted data</x:v>
      </x:c>
      <x:c r="F20" s="50" t="n">
        <x:v>239.7</x:v>
      </x:c>
      <x:c r="G20" s="50" t="n">
        <x:v>558</x:v>
      </x:c>
      <x:c r="H20" s="41" t="str">
        <x:v>Cpl_JmolK = A + B*x + C*x^2 + D*x^3 + E*x^4; x=(T-298.15)/100</x:v>
      </x:c>
      <x:c r="I20" s="41" t="str">
        <x:v>Cp in J/mol/K; T in K</x:v>
      </x:c>
      <x:c r="J20" s="50" t="n">
        <x:v>132.73657912744687</x:v>
      </x:c>
      <x:c r="K20" s="50" t="n">
        <x:v>20.193169351327477</x:v>
      </x:c>
      <x:c r="L20" s="50" t="n">
        <x:v>3.201500480733615</x:v>
      </x:c>
      <x:c r="M20" s="50" t="n">
        <x:v>-0.24189685450254098</x:v>
      </x:c>
      <x:c r="N20" s="50" t="n">
        <x:v>0.2658082912083216</x:v>
      </x:c>
      <x:c r="O20" s="50"/>
      <x:c r="P20" s="50"/>
      <x:c r="Q20" s="50"/>
      <x:c r="R20" s="50"/>
      <x:c r="S20" s="50" t="n">
        <x:v>0.03071050604153268</x:v>
      </x:c>
      <x:c r="T20" s="50" t="n">
        <x:v>0.07977836696805504</x:v>
      </x:c>
      <x:c r="U20" s="41" t="str">
        <x:v>{}</x:v>
      </x:c>
      <x:c r="V20" s="41" t="str">
        <x:v>https://webbook.nist.gov/cgi/cbook.cgi?ID=C110861&amp;Mask=FFF</x:v>
      </x:c>
      <x:c r="W20" s="41" t="str">
        <x:v>https://thermo.readthedocs.io/thermo.chemical.html</x:v>
      </x:c>
      <x:c r="X20" s="50" t="n">
        <x:v>132.68793227356278</x:v>
      </x:c>
      <x:c r="Y20" s="51" t="b">
        <x:v>1</x:v>
      </x:c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41" t="str">
        <x:v>Pyridine</x:v>
      </x:c>
      <x:c r="B21" s="41" t="str">
        <x:v>110-86-1</x:v>
      </x:c>
      <x:c r="C21" s="41" t="str">
        <x:v>Cpg</x:v>
      </x:c>
      <x:c r="D21" s="41" t="str">
        <x:v>TRCIG</x:v>
      </x:c>
      <x:c r="E21" s="41" t="str">
        <x:v>Public correlation / fitted data</x:v>
      </x:c>
      <x:c r="F21" s="50" t="n">
        <x:v>298</x:v>
      </x:c>
      <x:c r="G21" s="50" t="n">
        <x:v>1000</x:v>
      </x:c>
      <x:c r="H21" s="41" t="str">
        <x:v>Cpg_JmolK = A + B*x + C*x^2 + D*x^3 + E*x^4; x=(T-298.15)/100</x:v>
      </x:c>
      <x:c r="I21" s="41" t="str">
        <x:v>Cp in J/mol/K; T in K</x:v>
      </x:c>
      <x:c r="J21" s="50" t="n">
        <x:v>77.24870415051147</x:v>
      </x:c>
      <x:c r="K21" s="50" t="n">
        <x:v>30.447117357628912</x:v>
      </x:c>
      <x:c r="L21" s="50" t="n">
        <x:v>-2.4586160458546753</x:v>
      </x:c>
      <x:c r="M21" s="50" t="n">
        <x:v>0.03366147596591362</x:v>
      </x:c>
      <x:c r="N21" s="50" t="n">
        <x:v>0.0056052037535843785</x:v>
      </x:c>
      <x:c r="O21" s="50"/>
      <x:c r="P21" s="50"/>
      <x:c r="Q21" s="50"/>
      <x:c r="R21" s="50"/>
      <x:c r="S21" s="50" t="n">
        <x:v>0.08958578719069411</x:v>
      </x:c>
      <x:c r="T21" s="50" t="n">
        <x:v>0.46723954487060404</x:v>
      </x:c>
      <x:c r="U21" s="41" t="str">
        <x:v>{"TRCCp_parameters":{"Tmax":1000.0,"Tmin":298.0,"a0":4.0,"a1":256000.0,"a2":387.0,"a3":67.979,"a4":-69.271,"a5":182810000.0,"a6":377.0,"a7":121.0}}</x:v>
      </x:c>
      <x:c r="V21" s="41" t="str">
        <x:v>https://webbook.nist.gov/cgi/cbook.cgi?ID=C110861&amp;Mask=FFF</x:v>
      </x:c>
      <x:c r="W21" s="41" t="str">
        <x:v>https://thermo.readthedocs.io/thermo.chemical.html</x:v>
      </x:c>
      <x:c r="X21" s="50" t="n">
        <x:v>77.6080830437984</x:v>
      </x:c>
      <x:c r="Y21" s="51" t="b">
        <x:v>1</x:v>
      </x:c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41" t="str">
        <x:v>Pyridine</x:v>
      </x:c>
      <x:c r="B22" s="41" t="str">
        <x:v>110-86-1</x:v>
      </x:c>
      <x:c r="C22" s="41" t="str">
        <x:v>rhol</x:v>
      </x:c>
      <x:c r="D22" s="41" t="str">
        <x:v>VDI_PPDS</x:v>
      </x:c>
      <x:c r="E22" s="41" t="str">
        <x:v>Public correlation / fitted data</x:v>
      </x:c>
      <x:c r="F22" s="50" t="n">
        <x:v>233.15</x:v>
      </x:c>
      <x:c r="G22" s="50" t="n">
        <x:v>558</x:v>
      </x:c>
      <x:c r="H22" s="41" t="str">
        <x:v>rhoL_kgm3 = A + B*x + C*x^2 + D*x^3; x=(T-298.15)/100</x:v>
      </x:c>
      <x:c r="I22" s="41" t="str">
        <x:v>rho in kg/m^3; T in K</x:v>
      </x:c>
      <x:c r="J22" s="50" t="n">
        <x:v>977.2017387844273</x:v>
      </x:c>
      <x:c r="K22" s="50" t="n">
        <x:v>-101.25604351950862</x:v>
      </x:c>
      <x:c r="L22" s="50" t="n">
        <x:v>-2.942528243352838</x:v>
      </x:c>
      <x:c r="M22" s="50" t="n">
        <x:v>-3.495455036843202</x:v>
      </x:c>
      <x:c r="N22" s="50"/>
      <x:c r="O22" s="50"/>
      <x:c r="P22" s="50"/>
      <x:c r="Q22" s="50"/>
      <x:c r="R22" s="50"/>
      <x:c r="S22" s="50" t="n">
        <x:v>0.09385428350235439</x:v>
      </x:c>
      <x:c r="T22" s="50" t="n">
        <x:v>0.420907561467639</x:v>
      </x:c>
      <x:c r="U22" s="41" t="str">
        <x:v>{"volume_VDI_PPDS_parameters":{"MW":79.1,"Tc":620.0,"Tmax":620.0,"Tmin":186.0,"a":690.1939,"b":-203.6045,"c":639.6026,"d":-197.2534,"rhoc":311.0}}</x:v>
      </x:c>
      <x:c r="V22" s="41" t="str">
        <x:v>https://webbook.nist.gov/cgi/cbook.cgi?ID=C110861&amp;Mask=FFF</x:v>
      </x:c>
      <x:c r="W22" s="41" t="str">
        <x:v>https://thermo.readthedocs.io/thermo.chemical.html</x:v>
      </x:c>
      <x:c r="X22" s="50" t="n">
        <x:v>977.8906925446398</x:v>
      </x:c>
      <x:c r="Y22" s="51" t="b">
        <x:v>1</x:v>
      </x:c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41" t="str">
        <x:v>Pyridine</x:v>
      </x:c>
      <x:c r="B23" s="41" t="str">
        <x:v>110-86-1</x:v>
      </x:c>
      <x:c r="C23" s="41" t="str">
        <x:v>mul</x:v>
      </x:c>
      <x:c r="D23" s="41" t="str">
        <x:v>VDI_PPDS</x:v>
      </x:c>
      <x:c r="E23" s="41" t="str">
        <x:v>Public correlation / fitted data</x:v>
      </x:c>
      <x:c r="F23" s="50" t="n">
        <x:v>233.15</x:v>
      </x:c>
      <x:c r="G23" s="50" t="n">
        <x:v>465</x:v>
      </x:c>
      <x:c r="H23" s="41" t="str">
        <x:v>ln(muL_Pas) = A + B*x + C*x^2 + D*x^3 + E*x^4 + F*x^5; x=(T-298.15)/100</x:v>
      </x:c>
      <x:c r="I23" s="41" t="str">
        <x:v>mu in Pa*s; T in K</x:v>
      </x:c>
      <x:c r="J23" s="50" t="n">
        <x:v>-7.030147108612156</x:v>
      </x:c>
      <x:c r="K23" s="50" t="n">
        <x:v>-1.5224830294057763</x:v>
      </x:c>
      <x:c r="L23" s="50" t="n">
        <x:v>0.8332939452115392</x:v>
      </x:c>
      <x:c r="M23" s="50" t="n">
        <x:v>-0.3341396632747978</x:v>
      </x:c>
      <x:c r="N23" s="50" t="n">
        <x:v>0.11646724364452575</x:v>
      </x:c>
      <x:c r="O23" s="50" t="n">
        <x:v>-0.01889933224107003</x:v>
      </x:c>
      <x:c r="P23" s="50"/>
      <x:c r="Q23" s="50"/>
      <x:c r="R23" s="50"/>
      <x:c r="S23" s="50" t="n">
        <x:v>0.03932313596214627</x:v>
      </x:c>
      <x:c r="T23" s="50" t="n">
        <x:v>0.12628021575400675</x:v>
      </x:c>
      <x:c r="U23" s="41" t="str">
        <x:v>{"PPDS9_parameters":{"A":-1.0733,"B":2.2818400000000003,"C":531.855,"D":9.899,"E":0.00042903,"Tmax":476.93547765536744,"Tmin":231.15}}</x:v>
      </x:c>
      <x:c r="V23" s="41" t="str">
        <x:v>https://webbook.nist.gov/cgi/cbook.cgi?ID=C110861&amp;Mask=FFF</x:v>
      </x:c>
      <x:c r="W23" s="41" t="str">
        <x:v>https://thermo.readthedocs.io/thermo.chemical.html</x:v>
      </x:c>
      <x:c r="X23" s="50" t="n">
        <x:v>0.0008852007364110944</x:v>
      </x:c>
      <x:c r="Y23" s="51" t="b">
        <x:v>1</x:v>
      </x:c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41" t="str">
        <x:v>Pyridine</x:v>
      </x:c>
      <x:c r="B24" s="41" t="str">
        <x:v>110-86-1</x:v>
      </x:c>
      <x:c r="C24" s="41" t="str">
        <x:v>mug</x:v>
      </x:c>
      <x:c r="D24" s="41" t="str">
        <x:v>VDI_PPDS</x:v>
      </x:c>
      <x:c r="E24" s="41" t="str">
        <x:v>Public correlation / fitted data</x:v>
      </x:c>
      <x:c r="F24" s="50" t="n">
        <x:v>250</x:v>
      </x:c>
      <x:c r="G24" s="50" t="n">
        <x:v>1000</x:v>
      </x:c>
      <x:c r="H24" s="41" t="str">
        <x:v>muG_uPas = A + B*x + C*x^2 + D*x^3 + E*x^4 + F*x^5; x=(T-298.15)/100</x:v>
      </x:c>
      <x:c r="I24" s="41" t="str">
        <x:v>mu in microPa*s; T in K</x:v>
      </x:c>
      <x:c r="J24" s="50" t="n">
        <x:v>7.331636276014999</x:v>
      </x:c>
      <x:c r="K24" s="50" t="n">
        <x:v>2.634089619999997</x:v>
      </x:c>
      <x:c r="L24" s="50" t="n">
        <x:v>-0.020259999999996663</x:v>
      </x:c>
      <x:c r="M24" s="50" t="n">
        <x:v>-1.654546260188036e-15</x:v>
      </x:c>
      <x:c r="N24" s="50" t="n">
        <x:v>2.994197856783545e-16</x:v>
      </x:c>
      <x:c r="O24" s="50" t="n">
        <x:v>-1.5600166347865586e-17</x:v>
      </x:c>
      <x:c r="P24" s="50"/>
      <x:c r="Q24" s="50"/>
      <x:c r="R24" s="50"/>
      <x:c r="S24" s="50" t="n">
        <x:v>4.142200709295711e-14</x:v>
      </x:c>
      <x:c r="T24" s="50" t="n">
        <x:v>1.3650263039431132e-13</x:v>
      </x:c>
      <x:c r="U24" s="41" t="str">
        <x:v>{"DIPPR100_parameters":{"A":-7.02e-07,"B":2.7549e-08,"C":-2.026e-12,"D":0.0,"E":0.0,"Tmax":10000,"Tmin":0.001}}</x:v>
      </x:c>
      <x:c r="V24" s="41" t="str">
        <x:v>https://webbook.nist.gov/cgi/cbook.cgi?ID=C110861&amp;Mask=FFF</x:v>
      </x:c>
      <x:c r="W24" s="41" t="str">
        <x:v>https://thermo.readthedocs.io/thermo.chemical.html</x:v>
      </x:c>
      <x:c r="X24" s="50" t="n">
        <x:v>0.0000073316362760149985</x:v>
      </x:c>
      <x:c r="Y24" s="51" t="b">
        <x:v>1</x:v>
      </x:c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41" t="str">
        <x:v>Propylene oxide</x:v>
      </x:c>
      <x:c r="B25" s="41" t="str">
        <x:v>75-56-9</x:v>
      </x:c>
      <x:c r="C25" s="41" t="str">
        <x:v>Psat</x:v>
      </x:c>
      <x:c r="D25" s="41" t="str">
        <x:v>HEOS_FIT</x:v>
      </x:c>
      <x:c r="E25" s="41" t="str">
        <x:v>Public correlation / fitted data</x:v>
      </x:c>
      <x:c r="F25" s="50" t="n">
        <x:v>180</x:v>
      </x:c>
      <x:c r="G25" s="50" t="n">
        <x:v>439.29900000000004</x:v>
      </x:c>
      <x:c r="H25" s="41" t="str">
        <x:v>ln(Psat/Pc) = (A*tau + B*tau^1.5 + C*tau^3 + D*tau^6)/Tr; tau=1-Tr; Tr=T/Tc</x:v>
      </x:c>
      <x:c r="I25" s="41" t="str">
        <x:v>P, Pc in Pa; T,Tc in K</x:v>
      </x:c>
      <x:c r="J25" s="50" t="n">
        <x:v>-7.301881996553912</x:v>
      </x:c>
      <x:c r="K25" s="50" t="n">
        <x:v>1.6101944300766498</x:v>
      </x:c>
      <x:c r="L25" s="50" t="n">
        <x:v>-3.1542240059196542</x:v>
      </x:c>
      <x:c r="M25" s="50" t="n">
        <x:v>-1.6701896676050643</x:v>
      </x:c>
      <x:c r="N25" s="50"/>
      <x:c r="O25" s="50"/>
      <x:c r="P25" s="50"/>
      <x:c r="Q25" s="50" t="n">
        <x:v>488.11</x:v>
      </x:c>
      <x:c r="R25" s="50" t="n">
        <x:v>5436600</x:v>
      </x:c>
      <x:c r="S25" s="50" t="n">
        <x:v>0.026292172411001354</x:v>
      </x:c>
      <x:c r="T25" s="50" t="n">
        <x:v>0.11052987398840601</x:v>
      </x:c>
      <x:c r="U25" s="41" t="str">
        <x:v>{"exp_stable_polynomial_parameters":{"Tmax":488.11,"Tmin":161.244,"coeffs":[9.788442375021981,6.440394916119554,-53.15998651780886,-33.41506518757876,126.14160287900488,75.28354824517946,-171.61469842695243,-96.48589815501408,147.7072177307423,77.44794247201939,-83.72571785658565,-40.40107295340608,31.547516915246053,13.776895936160972,-7.816693037979624,-2.9595773486142494,1.1538809404276085,0.518750971854727,-0.3517340056201029,0.47771180542410463,-0.9696930371569258,1.8104241888961219,-3.0392474730298575,5.233377725362231,12.120350643151962]}}</x:v>
      </x:c>
      <x:c r="V25" s="41" t="str">
        <x:v>https://webbook.nist.gov/cgi/cbook.cgi?ID=C75569&amp;Mask=FFF</x:v>
      </x:c>
      <x:c r="W25" s="41" t="str">
        <x:v>https://thermo.readthedocs.io/thermo.chemical.html</x:v>
      </x:c>
      <x:c r="X25" s="50" t="n">
        <x:v>71852.4993098591</x:v>
      </x:c>
      <x:c r="Y25" s="51" t="b">
        <x:v>1</x:v>
      </x:c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41" t="str">
        <x:v>Propylene oxide</x:v>
      </x:c>
      <x:c r="B26" s="41" t="str">
        <x:v>75-56-9</x:v>
      </x:c>
      <x:c r="C26" s="41" t="str">
        <x:v>Hvap</x:v>
      </x:c>
      <x:c r="D26" s="41" t="str">
        <x:v>HEOS_FIT</x:v>
      </x:c>
      <x:c r="E26" s="41" t="str">
        <x:v>Public correlation / fitted data</x:v>
      </x:c>
      <x:c r="F26" s="50" t="n">
        <x:v>180</x:v>
      </x:c>
      <x:c r="G26" s="50" t="n">
        <x:v>439.29900000000004</x:v>
      </x:c>
      <x:c r="H26" s="41" t="str">
        <x:v>ln(Hvap_kJmol) = A + B*ln(tau) + C*tau + D*tau^2; tau=1-T/Tc</x:v>
      </x:c>
      <x:c r="I26" s="41" t="str">
        <x:v>Hvap in kJ/mol; T,Tc in K</x:v>
      </x:c>
      <x:c r="J26" s="50" t="n">
        <x:v>3.8949836339296566</x:v>
      </x:c>
      <x:c r="K26" s="50" t="n">
        <x:v>0.44231516693801654</x:v>
      </x:c>
      <x:c r="L26" s="50" t="n">
        <x:v>-0.5502890464115607</x:v>
      </x:c>
      <x:c r="M26" s="50" t="n">
        <x:v>0.4723740489931949</x:v>
      </x:c>
      <x:c r="N26" s="50"/>
      <x:c r="O26" s="50"/>
      <x:c r="P26" s="50"/>
      <x:c r="Q26" s="50" t="n">
        <x:v>488.11</x:v>
      </x:c>
      <x:c r="R26" s="50"/>
      <x:c r="S26" s="50" t="n">
        <x:v>0.08631303758254123</x:v>
      </x:c>
      <x:c r="T26" s="50" t="n">
        <x:v>0.24197734090145478</x:v>
      </x:c>
      <x:c r="U26" s="41" t="str">
        <x:v>{"exp_stable_polynomial_ln_tau_parameters":{"Tc":488.11,"Tmax":480.78835,"Tmin":161.244,"coeffs":[-0.9445776107068995,0.747180081660424,4.666889856576465,-3.4868282174864156,-9.940872355889235,7.037712025740093,11.992547466477832,-8.069283285387536,-9.071210946248703,5.777216542563558,4.4908040973584695,-2.6707791855781338,-1.4607348589150364,0.8127772383889244,0.3197390656260146,-0.14653638200042296,-0.032660902959736456,0.02686623347808755,0.009243446979255407,-0.002101195930914857,-0.015359197107924324,-0.025094646208837928,-0.0026449469088400115,0.7243280947034347,9.737241355972376]}}</x:v>
      </x:c>
      <x:c r="V26" s="41" t="str">
        <x:v>https://webbook.nist.gov/cgi/cbook.cgi?ID=C75569&amp;Mask=FFF</x:v>
      </x:c>
      <x:c r="W26" s="41" t="str">
        <x:v>https://thermo.readthedocs.io/thermo.chemical.html</x:v>
      </x:c>
      <x:c r="X26" s="50" t="n">
        <x:v>28091.37069005016</x:v>
      </x:c>
      <x:c r="Y26" s="51" t="b">
        <x:v>1</x:v>
      </x:c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41" t="str">
        <x:v>Propylene oxide</x:v>
      </x:c>
      <x:c r="B27" s="41" t="str">
        <x:v>75-56-9</x:v>
      </x:c>
      <x:c r="C27" s="41" t="str">
        <x:v>Cpl</x:v>
      </x:c>
      <x:c r="D27" s="41" t="str">
        <x:v>HEOS_FIT</x:v>
      </x:c>
      <x:c r="E27" s="41" t="str">
        <x:v>Public correlation / fitted data</x:v>
      </x:c>
      <x:c r="F27" s="50" t="n">
        <x:v>180</x:v>
      </x:c>
      <x:c r="G27" s="50" t="n">
        <x:v>439.29900000000004</x:v>
      </x:c>
      <x:c r="H27" s="41" t="str">
        <x:v>Cpl_JmolK = A + B*x + C*x^2 + D*x^3 + E*x^4; x=(T-298.15)/100</x:v>
      </x:c>
      <x:c r="I27" s="41" t="str">
        <x:v>Cp in J/mol/K; T in K</x:v>
      </x:c>
      <x:c r="J27" s="50" t="n">
        <x:v>120.6790027874246</x:v>
      </x:c>
      <x:c r="K27" s="50" t="n">
        <x:v>19.14461472929355</x:v>
      </x:c>
      <x:c r="L27" s="50" t="n">
        <x:v>5.36966643980397</x:v>
      </x:c>
      <x:c r="M27" s="50" t="n">
        <x:v>1.0817105846866408</x:v>
      </x:c>
      <x:c r="N27" s="50" t="n">
        <x:v>3.107834185701487</x:v>
      </x:c>
      <x:c r="O27" s="50"/>
      <x:c r="P27" s="50"/>
      <x:c r="Q27" s="50"/>
      <x:c r="R27" s="50"/>
      <x:c r="S27" s="50" t="n">
        <x:v>0.22018329208384202</x:v>
      </x:c>
      <x:c r="T27" s="50" t="n">
        <x:v>0.7578317395981597</x:v>
      </x:c>
      <x:c r="U27" s="41" t="str">
        <x:v>{"stable_polynomial_parameters":{"Tmax":439.29900000000004,"Tmin":161.244,"coeffs":[-653.5798948099334,-25.78464808857717,3873.7524120377484,154.679801303641,-10047.84007541788,-404.5578411756026,14984.2609036856,608.0481490356372,-14192.744246863504,-580.1214796860758,8904.19629440894,367.3857834662148,-3744.457038845896,-155.4430406710168,1046.8480800405202,45.019909262480844,-187.26024362602016,-6.833072019718579,23.401551736487047,5.609615642837886,-2.2565595163894607,13.82371890044375,28.062440104549864,120.8936656883125],"int_T_coeffs":[-28.416517165649278,62.99167111225093,41.93649076695806,-87.36913440082057,-330.20232281967674,730.3159141138669,-788.6931626096004,1847.8856506091595,-5203.315933404555,11999.40369733749,-27224.927615012577,63731.02731928161,-150499.92825970543,357539.0627289123,-857897.7109409593,2084503.3820671353,-5145294.165985142,12964935.510536082,-33601986.00342001,90716934.56514087,-261240498.90089038,846340584.8448443,-3655851611.681332,-30491850152.74901],"int_T_log_coeff":7895905946.841561}}</x:v>
      </x:c>
      <x:c r="V27" s="41" t="str">
        <x:v>https://webbook.nist.gov/cgi/cbook.cgi?ID=C75569&amp;Mask=FFF</x:v>
      </x:c>
      <x:c r="W27" s="41" t="str">
        <x:v>https://thermo.readthedocs.io/thermo.chemical.html</x:v>
      </x:c>
      <x:c r="X27" s="50" t="n">
        <x:v>120.46867211067689</x:v>
      </x:c>
      <x:c r="Y27" s="51" t="b">
        <x:v>1</x:v>
      </x:c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41" t="str">
        <x:v>Propylene oxide</x:v>
      </x:c>
      <x:c r="B28" s="41" t="str">
        <x:v>75-56-9</x:v>
      </x:c>
      <x:c r="C28" s="41" t="str">
        <x:v>Cpg</x:v>
      </x:c>
      <x:c r="D28" s="41" t="str">
        <x:v>HEOS_FIT</x:v>
      </x:c>
      <x:c r="E28" s="41" t="str">
        <x:v>Public correlation / fitted data</x:v>
      </x:c>
      <x:c r="F28" s="50" t="n">
        <x:v>250</x:v>
      </x:c>
      <x:c r="G28" s="50" t="n">
        <x:v>489</x:v>
      </x:c>
      <x:c r="H28" s="41" t="str">
        <x:v>Cpg_JmolK = A + B*x + C*x^2 + D*x^3 + E*x^4; x=(T-298.15)/100</x:v>
      </x:c>
      <x:c r="I28" s="41" t="str">
        <x:v>Cp in J/mol/K; T in K</x:v>
      </x:c>
      <x:c r="J28" s="50" t="n">
        <x:v>73.02125554968148</x:v>
      </x:c>
      <x:c r="K28" s="50" t="n">
        <x:v>19.80329031045379</x:v>
      </x:c>
      <x:c r="L28" s="50" t="n">
        <x:v>0.7948012190892733</x:v>
      </x:c>
      <x:c r="M28" s="50" t="n">
        <x:v>-1.0606822751850289</x:v>
      </x:c>
      <x:c r="N28" s="50" t="n">
        <x:v>0.19641965121673552</x:v>
      </x:c>
      <x:c r="O28" s="50"/>
      <x:c r="P28" s="50"/>
      <x:c r="Q28" s="50"/>
      <x:c r="R28" s="50"/>
      <x:c r="S28" s="50" t="n">
        <x:v>0.0026454822222918904</x:v>
      </x:c>
      <x:c r="T28" s="50" t="n">
        <x:v>0.006932986383966231</x:v>
      </x:c>
      <x:c r="U28" s="41" t="str">
        <x:v>{"stable_polynomial_parameters":{"Tmax":489.0,"Tmin":161.244,"coeffs":[0.0035087373441558276,-0.005428881801226817,-0.009722062763596837,0.03132953875633439,-0.045905675683679634,0.06059240572526427,-0.02280615781050622,-0.18573063232073228,0.5905581389425484,-0.870876984030932,0.23303342540973668,1.8666591215986064,-3.9294979348372645,-0.002728141058763527,32.820465418046595,78.40237097105486],"int_T_coeffs":[0.00023391582294372183,-0.0008849971994096999,0.0011429781399098973,0.00015424418767892052,-0.00450707148284844,0.015895111794480048,-0.03757262034909408,0.06064267678912555,-0.05313243493909726,-0.022166808848794867,0.0993794835774468,0.22021272109588097,-1.8923472823234384,5.630054421796259,10.481230698032398,-49.88093581697017],"int_T_log_coeff":57.608373686454804}}</x:v>
      </x:c>
      <x:c r="V28" s="41" t="str">
        <x:v>https://webbook.nist.gov/cgi/cbook.cgi?ID=C75569&amp;Mask=FFF</x:v>
      </x:c>
      <x:c r="W28" s="41" t="str">
        <x:v>https://thermo.readthedocs.io/thermo.chemical.html</x:v>
      </x:c>
      <x:c r="X28" s="50" t="n">
        <x:v>73.01935431504843</x:v>
      </x:c>
      <x:c r="Y28" s="51" t="b">
        <x:v>1</x:v>
      </x:c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41" t="str">
        <x:v>Propylene oxide</x:v>
      </x:c>
      <x:c r="B29" s="41" t="str">
        <x:v>75-56-9</x:v>
      </x:c>
      <x:c r="C29" s="41" t="str">
        <x:v>rhol</x:v>
      </x:c>
      <x:c r="D29" s="41" t="str">
        <x:v>HEOS_FIT</x:v>
      </x:c>
      <x:c r="E29" s="41" t="str">
        <x:v>Public correlation / fitted data</x:v>
      </x:c>
      <x:c r="F29" s="50" t="n">
        <x:v>180</x:v>
      </x:c>
      <x:c r="G29" s="50" t="n">
        <x:v>439.29900000000004</x:v>
      </x:c>
      <x:c r="H29" s="41" t="str">
        <x:v>rhoL_kgm3 = A + B*x + C*x^2 + D*x^3; x=(T-298.15)/100</x:v>
      </x:c>
      <x:c r="I29" s="41" t="str">
        <x:v>rho in kg/m^3; T in K</x:v>
      </x:c>
      <x:c r="J29" s="50" t="n">
        <x:v>824.2145341464819</x:v>
      </x:c>
      <x:c r="K29" s="50" t="n">
        <x:v>-124.88670236690304</x:v>
      </x:c>
      <x:c r="L29" s="50" t="n">
        <x:v>-14.035127108609318</x:v>
      </x:c>
      <x:c r="M29" s="50" t="n">
        <x:v>-7.9414002015274265</x:v>
      </x:c>
      <x:c r="N29" s="50"/>
      <x:c r="O29" s="50"/>
      <x:c r="P29" s="50"/>
      <x:c r="Q29" s="50"/>
      <x:c r="R29" s="50"/>
      <x:c r="S29" s="50" t="n">
        <x:v>0.08292704976273904</x:v>
      </x:c>
      <x:c r="T29" s="50" t="n">
        <x:v>0.3789193386866952</x:v>
      </x:c>
      <x:c r="U29" s="41" t="str">
        <x:v>{"stable_polynomial_parameters":{"Tmax":439.29900000000004,"Tmin":161.244,"coeffs":[2.8903594763205904e-05,-0.0003365949445674199,-0.0001916906635668902,0.0019941696374155566,0.000564001371708066,-0.005170879405692304,-0.0009696958243788622,0.0077088517900636856,0.0010802647759558025,-0.007299334811467953,-0.0008171768610666505,0.004577632968152035,0.00042790017448697434,-0.0019243052788873519,-0.00015509894034910603,0.0005374385231311181,3.859866639193421e-05,-9.654072392528224e-05,-5.83909624309419e-06,1.152310571641389e-05,2.0156121611331847e-06,2.181198756472762e-06,5.286652485343742e-06,1.5204945314521033e-05,7.073195913150111e-05]}}</x:v>
      </x:c>
      <x:c r="V29" s="41" t="str">
        <x:v>https://webbook.nist.gov/cgi/cbook.cgi?ID=C75569&amp;Mask=FFF</x:v>
      </x:c>
      <x:c r="W29" s="41" t="str">
        <x:v>https://thermo.readthedocs.io/thermo.chemical.html</x:v>
      </x:c>
      <x:c r="X29" s="50" t="n">
        <x:v>823.8040156353779</x:v>
      </x:c>
      <x:c r="Y29" s="51" t="b">
        <x:v>1</x:v>
      </x:c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41" t="str">
        <x:v>Propylene oxide</x:v>
      </x:c>
      <x:c r="B30" s="41" t="str">
        <x:v>75-56-9</x:v>
      </x:c>
      <x:c r="C30" s="41" t="str">
        <x:v>mul</x:v>
      </x:c>
      <x:c r="D30" s="41" t="str">
        <x:v>REFPROP_FIT</x:v>
      </x:c>
      <x:c r="E30" s="41" t="str">
        <x:v>Public correlation / fitted data</x:v>
      </x:c>
      <x:c r="F30" s="50" t="n">
        <x:v>180</x:v>
      </x:c>
      <x:c r="G30" s="50" t="n">
        <x:v>366.0825</x:v>
      </x:c>
      <x:c r="H30" s="41" t="str">
        <x:v>ln(muL_Pas) = A + B*x + C*x^2 + D*x^3 + E*x^4 + F*x^5; x=(T-298.15)/100</x:v>
      </x:c>
      <x:c r="I30" s="41" t="str">
        <x:v>mu in Pa*s; T in K</x:v>
      </x:c>
      <x:c r="J30" s="50" t="n">
        <x:v>-8.082690148344078</x:v>
      </x:c>
      <x:c r="K30" s="50" t="n">
        <x:v>-1.060433358009875</x:v>
      </x:c>
      <x:c r="L30" s="50" t="n">
        <x:v>0.21116889096380773</x:v>
      </x:c>
      <x:c r="M30" s="50" t="n">
        <x:v>-0.0900286097487892</x:v>
      </x:c>
      <x:c r="N30" s="50" t="n">
        <x:v>0.05627110415345469</x:v>
      </x:c>
      <x:c r="O30" s="50" t="n">
        <x:v>-0.07669721468931182</x:v>
      </x:c>
      <x:c r="P30" s="50"/>
      <x:c r="Q30" s="50"/>
      <x:c r="R30" s="50"/>
      <x:c r="S30" s="50" t="n">
        <x:v>0.041783610250641645</x:v>
      </x:c>
      <x:c r="T30" s="50" t="n">
        <x:v>0.09825378245215526</x:v>
      </x:c>
      <x:c r="U30" s="41" t="str">
        <x:v>{"exp_stable_polynomial_parameters":{"Tmax":488.01,"Tmin":161.244,"coeffs":[-10345.388060819894,-5726.335046191898,57806.70159451715,30583.7334467356,-140955.86670221222,-70837.57658981865,196881.33471272423,93254.79011452787,-173832.16808400536,-76840.31871118883,101009.2550228502,41136.64765431796,-38995.26395464299,-14381.392626198087,9864.752086249704,3216.181439028113,-1573.946023677784,-437.9304195540703,147.52736041990298,32.778710827929366,-6.9773658308847635,-1.4625531692810414,0.5098904721367381,-1.5682082333783973,-8.350423986241315]}}</x:v>
      </x:c>
      <x:c r="V30" s="41" t="str">
        <x:v>https://webbook.nist.gov/cgi/cbook.cgi?ID=C75569&amp;Mask=FFF</x:v>
      </x:c>
      <x:c r="W30" s="41" t="str">
        <x:v>https://thermo.readthedocs.io/thermo.chemical.html</x:v>
      </x:c>
      <x:c r="X30" s="50" t="n">
        <x:v>0.00030903691789730076</x:v>
      </x:c>
      <x:c r="Y30" s="51" t="b">
        <x:v>1</x:v>
      </x:c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41" t="str">
        <x:v>Propylene oxide</x:v>
      </x:c>
      <x:c r="B31" s="41" t="str">
        <x:v>75-56-9</x:v>
      </x:c>
      <x:c r="C31" s="41" t="str">
        <x:v>mug</x:v>
      </x:c>
      <x:c r="D31" s="41" t="str">
        <x:v>REFPROP_FIT</x:v>
      </x:c>
      <x:c r="E31" s="41" t="str">
        <x:v>Public correlation / fitted data</x:v>
      </x:c>
      <x:c r="F31" s="50" t="n">
        <x:v>250</x:v>
      </x:c>
      <x:c r="G31" s="50" t="n">
        <x:v>489</x:v>
      </x:c>
      <x:c r="H31" s="41" t="str">
        <x:v>muG_uPas = A + B*x + C*x^2 + D*x^3 + E*x^4 + F*x^5; x=(T-298.15)/100</x:v>
      </x:c>
      <x:c r="I31" s="41" t="str">
        <x:v>mu in microPa*s; T in K</x:v>
      </x:c>
      <x:c r="J31" s="50" t="n">
        <x:v>8.373022240505156</x:v>
      </x:c>
      <x:c r="K31" s="50" t="n">
        <x:v>2.8937541295422093</x:v>
      </x:c>
      <x:c r="L31" s="50" t="n">
        <x:v>0.11370358688861752</x:v>
      </x:c>
      <x:c r="M31" s="50" t="n">
        <x:v>-0.06533898350158676</x:v>
      </x:c>
      <x:c r="N31" s="50" t="n">
        <x:v>-0.018942981611058687</x:v>
      </x:c>
      <x:c r="O31" s="50" t="n">
        <x:v>0.010915057945004423</x:v>
      </x:c>
      <x:c r="P31" s="50"/>
      <x:c r="Q31" s="50"/>
      <x:c r="R31" s="50"/>
      <x:c r="S31" s="50" t="n">
        <x:v>0.03348722991088604</x:v>
      </x:c>
      <x:c r="T31" s="50" t="n">
        <x:v>0.0848024235597266</x:v>
      </x:c>
      <x:c r="U31" s="41" t="str">
        <x:v>{"stable_polynomial_parameters":{"Tmax":489.0,"Tmin":161.244,"coeffs":[0.00312032223841886,-0.0009307951370735087,-0.019135778091842855,0.005612543717312633,0.051586059108412394,-0.01485817849305343,-0.08036398519910833,0.022704830036962966,0.07999581289077011,-0.022150941259847092,-0.053107333599601625,0.014412483690319531,0.02381686179794229,-0.006346323757585931,-0.00714673556585675,0.0018814062360674106,0.001387318645622077,-0.00036708253395245177,-0.00016184921763403865,4.52280896477819e-05,9.354298517198791e-06,-3.3998240055832302e-06,4.5239394799878724e-09,4.895499760627861e-06,9.159392824527269e-06]}}</x:v>
      </x:c>
      <x:c r="V31" s="41" t="str">
        <x:v>https://webbook.nist.gov/cgi/cbook.cgi?ID=C75569&amp;Mask=FFF</x:v>
      </x:c>
      <x:c r="W31" s="41" t="str">
        <x:v>https://thermo.readthedocs.io/thermo.chemical.html</x:v>
      </x:c>
      <x:c r="X31" s="50" t="n">
        <x:v>0.000008368827950893797</x:v>
      </x:c>
      <x:c r="Y31" s="51" t="b">
        <x:v>1</x:v>
      </x:c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41" t="str">
        <x:v>Lactic acid</x:v>
      </x:c>
      <x:c r="B32" s="41" t="str">
        <x:v>50-21-5</x:v>
      </x:c>
      <x:c r="C32" s="41" t="str">
        <x:v>Psat</x:v>
      </x:c>
      <x:c r="D32" s="41" t="str">
        <x:v>AMBROSE_WALTON</x:v>
      </x:c>
      <x:c r="E32" s="41" t="str">
        <x:v>Engineering estimate</x:v>
      </x:c>
      <x:c r="F32" s="50" t="n">
        <x:v>293.15</x:v>
      </x:c>
      <x:c r="G32" s="50" t="n">
        <x:v>607.5</x:v>
      </x:c>
      <x:c r="H32" s="41" t="str">
        <x:v>ln(Psat/Pc) = (A*tau + B*tau^1.5 + C*tau^3 + D*tau^6)/Tr; tau=1-Tr; Tr=T/Tc</x:v>
      </x:c>
      <x:c r="I32" s="41" t="str">
        <x:v>P, Pc in Pa; T,Tc in K</x:v>
      </x:c>
      <x:c r="J32" s="50" t="n">
        <x:v>-11.249840096908837</x:v>
      </x:c>
      <x:c r="K32" s="50" t="n">
        <x:v>2.63628231105643</x:v>
      </x:c>
      <x:c r="L32" s="50" t="n">
        <x:v>-11.70940278116608</x:v>
      </x:c>
      <x:c r="M32" s="50" t="n">
        <x:v>-1.736905809600242</x:v>
      </x:c>
      <x:c r="N32" s="50"/>
      <x:c r="O32" s="50"/>
      <x:c r="P32" s="50"/>
      <x:c r="Q32" s="50" t="n">
        <x:v>675</x:v>
      </x:c>
      <x:c r="R32" s="50" t="n">
        <x:v>5960000</x:v>
      </x:c>
      <x:c r="S32" s="50" t="n">
        <x:v>0.11227908445838018</x:v>
      </x:c>
      <x:c r="T32" s="50" t="n">
        <x:v>0.33948600253942257</x:v>
      </x:c>
      <x:c r="U32" s="41" t="str">
        <x:v>{}</x:v>
      </x:c>
      <x:c r="V32" s="41" t="str">
        <x:v>https://webbook.nist.gov/cgi/cbook.cgi?ID=C50215&amp;Mask=FFF</x:v>
      </x:c>
      <x:c r="W32" s="41" t="str">
        <x:v>https://thermo.readthedocs.io/thermo.chemical.html</x:v>
      </x:c>
      <x:c r="X32" s="50" t="n">
        <x:v>0.42214021514470007</x:v>
      </x:c>
      <x:c r="Y32" s="51" t="b">
        <x:v>1</x:v>
      </x:c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41" t="str">
        <x:v>Lactic acid</x:v>
      </x:c>
      <x:c r="B33" s="41" t="str">
        <x:v>50-21-5</x:v>
      </x:c>
      <x:c r="C33" s="41" t="str">
        <x:v>Hvap</x:v>
      </x:c>
      <x:c r="D33" s="41" t="str">
        <x:v>MORGAN_KOBAYASHI</x:v>
      </x:c>
      <x:c r="E33" s="41" t="str">
        <x:v>Engineering estimate</x:v>
      </x:c>
      <x:c r="F33" s="50" t="n">
        <x:v>293.15</x:v>
      </x:c>
      <x:c r="G33" s="50" t="n">
        <x:v>607.5</x:v>
      </x:c>
      <x:c r="H33" s="41" t="str">
        <x:v>ln(Hvap_kJmol) = A + B*ln(tau) + C*tau + D*tau^2; tau=1-T/Tc</x:v>
      </x:c>
      <x:c r="I33" s="41" t="str">
        <x:v>Hvap in kJ/mol; T,Tc in K</x:v>
      </x:c>
      <x:c r="J33" s="50" t="n">
        <x:v>5.046256054282449</x:v>
      </x:c>
      <x:c r="K33" s="50" t="n">
        <x:v>0.5371728692121767</x:v>
      </x:c>
      <x:c r="L33" s="50" t="n">
        <x:v>-1.332670413510711</x:v>
      </x:c>
      <x:c r="M33" s="50" t="n">
        <x:v>1.622727118331813</x:v>
      </x:c>
      <x:c r="N33" s="50"/>
      <x:c r="O33" s="50"/>
      <x:c r="P33" s="50"/>
      <x:c r="Q33" s="50" t="n">
        <x:v>675</x:v>
      </x:c>
      <x:c r="R33" s="50"/>
      <x:c r="S33" s="50" t="n">
        <x:v>0.04503086669747692</x:v>
      </x:c>
      <x:c r="T33" s="50" t="n">
        <x:v>0.17013812265092498</x:v>
      </x:c>
      <x:c r="U33" s="41" t="str">
        <x:v>{}</x:v>
      </x:c>
      <x:c r="V33" s="41" t="str">
        <x:v>https://webbook.nist.gov/cgi/cbook.cgi?ID=C50215&amp;Mask=FFF</x:v>
      </x:c>
      <x:c r="W33" s="41" t="str">
        <x:v>https://thermo.readthedocs.io/thermo.chemical.html</x:v>
      </x:c>
      <x:c r="X33" s="50" t="n">
        <x:v>89609.45380017642</x:v>
      </x:c>
      <x:c r="Y33" s="51" t="b">
        <x:v>1</x:v>
      </x:c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41" t="str">
        <x:v>Lactic acid</x:v>
      </x:c>
      <x:c r="B34" s="41" t="str">
        <x:v>50-21-5</x:v>
      </x:c>
      <x:c r="C34" s="41" t="str">
        <x:v>Cpl</x:v>
      </x:c>
      <x:c r="D34" s="41" t="str">
        <x:v>DADGOSTAR_SHAW</x:v>
      </x:c>
      <x:c r="E34" s="41" t="str">
        <x:v>Engineering estimate</x:v>
      </x:c>
      <x:c r="F34" s="50" t="n">
        <x:v>293.15</x:v>
      </x:c>
      <x:c r="G34" s="50" t="n">
        <x:v>607.5</x:v>
      </x:c>
      <x:c r="H34" s="41" t="str">
        <x:v>Cpl_JmolK = A + B*x + C*x^2 + D*x^3 + E*x^4; x=(T-298.15)/100</x:v>
      </x:c>
      <x:c r="I34" s="41" t="str">
        <x:v>Cp in J/mol/K; T in K</x:v>
      </x:c>
      <x:c r="J34" s="50" t="n">
        <x:v>139.03937581184488</x:v>
      </x:c>
      <x:c r="K34" s="50" t="n">
        <x:v>35.32455976025197</x:v>
      </x:c>
      <x:c r="L34" s="50" t="n">
        <x:v>-5.102309565436395</x:v>
      </x:c>
      <x:c r="M34" s="50" t="n">
        <x:v>-9.015387419322258e-15</x:v>
      </x:c>
      <x:c r="N34" s="50" t="n">
        <x:v>5.238253972410567e-15</x:v>
      </x:c>
      <x:c r="O34" s="50"/>
      <x:c r="P34" s="50"/>
      <x:c r="Q34" s="50"/>
      <x:c r="R34" s="50"/>
      <x:c r="S34" s="50" t="n">
        <x:v>4.808438251698828e-14</x:v>
      </x:c>
      <x:c r="T34" s="50" t="n">
        <x:v>8.648216349444539e-14</x:v>
      </x:c>
      <x:c r="U34" s="41" t="str">
        <x:v>{}</x:v>
      </x:c>
      <x:c r="V34" s="41" t="str">
        <x:v>https://webbook.nist.gov/cgi/cbook.cgi?ID=C50215&amp;Mask=FFF</x:v>
      </x:c>
      <x:c r="W34" s="41" t="str">
        <x:v>https://thermo.readthedocs.io/thermo.chemical.html</x:v>
      </x:c>
      <x:c r="X34" s="50" t="n">
        <x:v>139.03937581184496</x:v>
      </x:c>
      <x:c r="Y34" s="51" t="b">
        <x:v>1</x:v>
      </x:c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41" t="str">
        <x:v>Lactic acid</x:v>
      </x:c>
      <x:c r="B35" s="41" t="str">
        <x:v>50-21-5</x:v>
      </x:c>
      <x:c r="C35" s="41" t="str">
        <x:v>Cpg</x:v>
      </x:c>
      <x:c r="D35" s="41" t="str">
        <x:v>JOBACK</x:v>
      </x:c>
      <x:c r="E35" s="41" t="str">
        <x:v>Engineering estimate</x:v>
      </x:c>
      <x:c r="F35" s="50" t="n">
        <x:v>329.99</x:v>
      </x:c>
      <x:c r="G35" s="50" t="n">
        <x:v>1000</x:v>
      </x:c>
      <x:c r="H35" s="41" t="str">
        <x:v>Cpg_JmolK = A + B*x + C*x^2 + D*x^3 + E*x^4; x=(T-298.15)/100</x:v>
      </x:c>
      <x:c r="I35" s="41" t="str">
        <x:v>Cp in J/mol/K; T in K</x:v>
      </x:c>
      <x:c r="J35" s="50" t="n">
        <x:v>101.32958430215571</x:v>
      </x:c>
      <x:c r="K35" s="50" t="n">
        <x:v>24.954956053149825</x:v>
      </x:c>
      <x:c r="L35" s="50" t="n">
        <x:v>-1.9032298999999353</x:v>
      </x:c>
      <x:c r="M35" s="50" t="n">
        <x:v>0.06179999999999335</x:v>
      </x:c>
      <x:c r="N35" s="50" t="n">
        <x:v>9.943763798381424e-17</x:v>
      </x:c>
      <x:c r="O35" s="50"/>
      <x:c r="P35" s="50"/>
      <x:c r="Q35" s="50"/>
      <x:c r="R35" s="50"/>
      <x:c r="S35" s="50" t="n">
        <x:v>3.293895998855471e-14</x:v>
      </x:c>
      <x:c r="T35" s="50" t="n">
        <x:v>7.816444324525516e-14</x:v>
      </x:c>
      <x:c r="U35" s="41" t="str">
        <x:v>{"DIPPR100_parameters":{"A":8.37,"B":0.37952,"C":-0.0002456,"D":6.18e-08,"Tmax":1737.0198,"Tmin":329.99}}</x:v>
      </x:c>
      <x:c r="V35" s="41" t="str">
        <x:v>https://webbook.nist.gov/cgi/cbook.cgi?ID=C50215&amp;Mask=FFF</x:v>
      </x:c>
      <x:c r="W35" s="41" t="str">
        <x:v>https://thermo.readthedocs.io/thermo.chemical.html</x:v>
      </x:c>
      <x:c r="X35" s="50" t="n">
        <x:v>101.51854133258541</x:v>
      </x:c>
      <x:c r="Y35" s="51" t="b">
        <x:v>0</x:v>
      </x:c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41" t="str">
        <x:v>Lactic acid</x:v>
      </x:c>
      <x:c r="B36" s="41" t="str">
        <x:v>50-21-5</x:v>
      </x:c>
      <x:c r="C36" s="41" t="str">
        <x:v>rhol</x:v>
      </x:c>
      <x:c r="D36" s="41" t="str">
        <x:v>RACKETT</x:v>
      </x:c>
      <x:c r="E36" s="41" t="str">
        <x:v>Engineering estimate</x:v>
      </x:c>
      <x:c r="F36" s="50" t="n">
        <x:v>293.15</x:v>
      </x:c>
      <x:c r="G36" s="50" t="n">
        <x:v>607.5</x:v>
      </x:c>
      <x:c r="H36" s="41" t="str">
        <x:v>rhoL_kgm3 = A + B*x + C*x^2 + D*x^3; x=(T-298.15)/100</x:v>
      </x:c>
      <x:c r="I36" s="41" t="str">
        <x:v>rho in kg/m^3; T in K</x:v>
      </x:c>
      <x:c r="J36" s="50" t="n">
        <x:v>1100.0934345292237</x:v>
      </x:c>
      <x:c r="K36" s="50" t="n">
        <x:v>-99.81695007004262</x:v>
      </x:c>
      <x:c r="L36" s="50" t="n">
        <x:v>3.525449559040739</x:v>
      </x:c>
      <x:c r="M36" s="50" t="n">
        <x:v>-3.744996569904256</x:v>
      </x:c>
      <x:c r="N36" s="50"/>
      <x:c r="O36" s="50"/>
      <x:c r="P36" s="50"/>
      <x:c r="Q36" s="50"/>
      <x:c r="R36" s="50"/>
      <x:c r="S36" s="50" t="n">
        <x:v>0.07734523425958456</x:v>
      </x:c>
      <x:c r="T36" s="50" t="n">
        <x:v>0.33408641699491864</x:v>
      </x:c>
      <x:c r="U36" s="41" t="str">
        <x:v>{}</x:v>
      </x:c>
      <x:c r="V36" s="41" t="str">
        <x:v>https://webbook.nist.gov/cgi/cbook.cgi?ID=C50215&amp;Mask=FFF</x:v>
      </x:c>
      <x:c r="W36" s="41" t="str">
        <x:v>https://thermo.readthedocs.io/thermo.chemical.html</x:v>
      </x:c>
      <x:c r="X36" s="50" t="n">
        <x:v>1099.194959201353</x:v>
      </x:c>
      <x:c r="Y36" s="51" t="b">
        <x:v>1</x:v>
      </x:c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41" t="str">
        <x:v>Lactic acid</x:v>
      </x:c>
      <x:c r="B37" s="41" t="str">
        <x:v>50-21-5</x:v>
      </x:c>
      <x:c r="C37" s="41" t="str">
        <x:v>mul</x:v>
      </x:c>
      <x:c r="D37" s="41" t="str">
        <x:v>LETSOU_STIEL</x:v>
      </x:c>
      <x:c r="E37" s="41" t="str">
        <x:v>Engineering estimate</x:v>
      </x:c>
      <x:c r="F37" s="50" t="n">
        <x:v>293.15</x:v>
      </x:c>
      <x:c r="G37" s="50" t="n">
        <x:v>556.0390000000001</x:v>
      </x:c>
      <x:c r="H37" s="41" t="str">
        <x:v>ln(muL_Pas) = A + B*x + C*x^2 + D*x^3 + E*x^4 + F*x^5; x=(T-298.15)/100</x:v>
      </x:c>
      <x:c r="I37" s="41" t="str">
        <x:v>mu in Pa*s; T in K</x:v>
      </x:c>
      <x:c r="J37" s="50" t="n">
        <x:v>-6.806433570490496</x:v>
      </x:c>
      <x:c r="K37" s="50" t="n">
        <x:v>-0.40591429370969484</x:v>
      </x:c>
      <x:c r="L37" s="50" t="n">
        <x:v>-0.03856578322753087</x:v>
      </x:c>
      <x:c r="M37" s="50" t="n">
        <x:v>-0.01020919006258259</x:v>
      </x:c>
      <x:c r="N37" s="50" t="n">
        <x:v>0.0020072728936574016</x:v>
      </x:c>
      <x:c r="O37" s="50" t="n">
        <x:v>-0.0008937681802578073</x:v>
      </x:c>
      <x:c r="P37" s="50"/>
      <x:c r="Q37" s="50"/>
      <x:c r="R37" s="50"/>
      <x:c r="S37" s="50" t="n">
        <x:v>0.002496862883622448</x:v>
      </x:c>
      <x:c r="T37" s="50" t="n">
        <x:v>0.008268998402013185</x:v>
      </x:c>
      <x:c r="U37" s="41" t="str">
        <x:v>{}</x:v>
      </x:c>
      <x:c r="V37" s="41" t="str">
        <x:v>https://webbook.nist.gov/cgi/cbook.cgi?ID=C50215&amp;Mask=FFF</x:v>
      </x:c>
      <x:c r="W37" s="41" t="str">
        <x:v>https://thermo.readthedocs.io/thermo.chemical.html</x:v>
      </x:c>
      <x:c r="X37" s="50" t="n">
        <x:v>0.0011066142062558962</x:v>
      </x:c>
      <x:c r="Y37" s="51" t="b">
        <x:v>1</x:v>
      </x:c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41" t="str">
        <x:v>Lactic acid</x:v>
      </x:c>
      <x:c r="B38" s="41" t="str">
        <x:v>50-21-5</x:v>
      </x:c>
      <x:c r="C38" s="41" t="str">
        <x:v>mug</x:v>
      </x:c>
      <x:c r="D38" s="41" t="str">
        <x:v>GHARAGHEIZI</x:v>
      </x:c>
      <x:c r="E38" s="41" t="str">
        <x:v>Engineering estimate</x:v>
      </x:c>
      <x:c r="F38" s="50" t="n">
        <x:v>250</x:v>
      </x:c>
      <x:c r="G38" s="50" t="n">
        <x:v>1000</x:v>
      </x:c>
      <x:c r="H38" s="41" t="str">
        <x:v>muG_uPas = A + B*x + C*x^2 + D*x^3 + E*x^4 + F*x^5; x=(T-298.15)/100</x:v>
      </x:c>
      <x:c r="I38" s="41" t="str">
        <x:v>mu in microPa*s; T in K</x:v>
      </x:c>
      <x:c r="J38" s="50" t="n">
        <x:v>6.171611692661052</x:v>
      </x:c>
      <x:c r="K38" s="50" t="n">
        <x:v>4.243761594911369</x:v>
      </x:c>
      <x:c r="L38" s="50" t="n">
        <x:v>-0.7207342116995722</x:v>
      </x:c>
      <x:c r="M38" s="50" t="n">
        <x:v>0.14405427582678682</x:v>
      </x:c>
      <x:c r="N38" s="50" t="n">
        <x:v>-0.0160395284815792</x:v>
      </x:c>
      <x:c r="O38" s="50" t="n">
        <x:v>0.0007270065347642308</x:v>
      </x:c>
      <x:c r="P38" s="50"/>
      <x:c r="Q38" s="50"/>
      <x:c r="R38" s="50"/>
      <x:c r="S38" s="50" t="n">
        <x:v>0.11289286477761079</x:v>
      </x:c>
      <x:c r="T38" s="50" t="n">
        <x:v>0.7509410128189198</x:v>
      </x:c>
      <x:c r="U38" s="41" t="str">
        <x:v>{}</x:v>
      </x:c>
      <x:c r="V38" s="41" t="str">
        <x:v>https://webbook.nist.gov/cgi/cbook.cgi?ID=C50215&amp;Mask=FFF</x:v>
      </x:c>
      <x:c r="W38" s="41" t="str">
        <x:v>https://thermo.readthedocs.io/thermo.chemical.html</x:v>
      </x:c>
      <x:c r="X38" s="50" t="n">
        <x:v>0.000006186611868363408</x:v>
      </x:c>
      <x:c r="Y38" s="51" t="b">
        <x:v>1</x:v>
      </x:c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41" t="str">
        <x:v>Acetophenone</x:v>
      </x:c>
      <x:c r="B39" s="41" t="str">
        <x:v>98-86-2</x:v>
      </x:c>
      <x:c r="C39" s="41" t="str">
        <x:v>Psat</x:v>
      </x:c>
      <x:c r="D39" s="41" t="str">
        <x:v>VDI_PPDS</x:v>
      </x:c>
      <x:c r="E39" s="41" t="str">
        <x:v>Public correlation / fitted data</x:v>
      </x:c>
      <x:c r="F39" s="50" t="n">
        <x:v>295.15</x:v>
      </x:c>
      <x:c r="G39" s="50" t="n">
        <x:v>638.64</x:v>
      </x:c>
      <x:c r="H39" s="41" t="str">
        <x:v>ln(Psat/Pc) = (A*tau + B*tau^1.5 + C*tau^3 + D*tau^6)/Tr; tau=1-Tr; Tr=T/Tc</x:v>
      </x:c>
      <x:c r="I39" s="41" t="str">
        <x:v>P, Pc in Pa; T,Tc in K</x:v>
      </x:c>
      <x:c r="J39" s="50" t="n">
        <x:v>-7.768041097527823</x:v>
      </x:c>
      <x:c r="K39" s="50" t="n">
        <x:v>1.1357396883826967</x:v>
      </x:c>
      <x:c r="L39" s="50" t="n">
        <x:v>-3.176806255121706</x:v>
      </x:c>
      <x:c r="M39" s="50" t="n">
        <x:v>-3.2765936792892023</x:v>
      </x:c>
      <x:c r="N39" s="50"/>
      <x:c r="O39" s="50"/>
      <x:c r="P39" s="50"/>
      <x:c r="Q39" s="50" t="n">
        <x:v>709.6</x:v>
      </x:c>
      <x:c r="R39" s="50" t="n">
        <x:v>4010000</x:v>
      </x:c>
      <x:c r="S39" s="50" t="n">
        <x:v>0.13438616338370868</x:v>
      </x:c>
      <x:c r="T39" s="50" t="n">
        <x:v>0.5505991125943841</x:v>
      </x:c>
      <x:c r="U39" s="41" t="str">
        <x:v>{"Wagner_parameters":{"Pc":3840000.0,"Tc":709.5,"Tmax":709.5,"Tmin":292.85,"a":-6.96667,"b":-0.37241,"c":-0.80507,"d":-4.88404}}</x:v>
      </x:c>
      <x:c r="V39" s="41" t="str">
        <x:v>https://webbook.nist.gov/cgi/cbook.cgi?ID=C98862&amp;Mask=FFF</x:v>
      </x:c>
      <x:c r="W39" s="41" t="str">
        <x:v>https://thermo.readthedocs.io/thermo.chemical.html</x:v>
      </x:c>
      <x:c r="X39" s="50" t="n">
        <x:v>49.715321159530596</x:v>
      </x:c>
      <x:c r="Y39" s="51" t="b">
        <x:v>1</x:v>
      </x:c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41" t="str">
        <x:v>Acetophenone</x:v>
      </x:c>
      <x:c r="B40" s="41" t="str">
        <x:v>98-86-2</x:v>
      </x:c>
      <x:c r="C40" s="41" t="str">
        <x:v>Hvap</x:v>
      </x:c>
      <x:c r="D40" s="41" t="str">
        <x:v>VDI_PPDS</x:v>
      </x:c>
      <x:c r="E40" s="41" t="str">
        <x:v>Public correlation / fitted data</x:v>
      </x:c>
      <x:c r="F40" s="50" t="n">
        <x:v>295.15</x:v>
      </x:c>
      <x:c r="G40" s="50" t="n">
        <x:v>638.64</x:v>
      </x:c>
      <x:c r="H40" s="41" t="str">
        <x:v>ln(Hvap_kJmol) = A + B*ln(tau) + C*tau + D*tau^2; tau=1-T/Tc</x:v>
      </x:c>
      <x:c r="I40" s="41" t="str">
        <x:v>Hvap in kJ/mol; T,Tc in K</x:v>
      </x:c>
      <x:c r="J40" s="50" t="n">
        <x:v>4.729783690524241</x:v>
      </x:c>
      <x:c r="K40" s="50" t="n">
        <x:v>0.577506906316976</x:v>
      </x:c>
      <x:c r="L40" s="50" t="n">
        <x:v>-1.1572365181597561</x:v>
      </x:c>
      <x:c r="M40" s="50" t="n">
        <x:v>0.734315746223048</x:v>
      </x:c>
      <x:c r="N40" s="50"/>
      <x:c r="O40" s="50"/>
      <x:c r="P40" s="50"/>
      <x:c r="Q40" s="50" t="n">
        <x:v>709.6</x:v>
      </x:c>
      <x:c r="R40" s="50"/>
      <x:c r="S40" s="50" t="n">
        <x:v>0.008111805966633533</x:v>
      </x:c>
      <x:c r="T40" s="50" t="n">
        <x:v>0.023586666965973474</x:v>
      </x:c>
      <x:c r="U40" s="41" t="str">
        <x:v>{"PPDS12_parameters":{"A":-0.98031,"B":38.406,"C":-33.357359,"D":7.603605,"E":1.866879,"Tc":709.5,"Tmax":709.5,"Tmin":70.95}}</x:v>
      </x:c>
      <x:c r="V40" s="41" t="str">
        <x:v>https://webbook.nist.gov/cgi/cbook.cgi?ID=C98862&amp;Mask=FFF</x:v>
      </x:c>
      <x:c r="W40" s="41" t="str">
        <x:v>https://thermo.readthedocs.io/thermo.chemical.html</x:v>
      </x:c>
      <x:c r="X40" s="50" t="n">
        <x:v>54114.415028999596</x:v>
      </x:c>
      <x:c r="Y40" s="51" t="b">
        <x:v>1</x:v>
      </x:c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41" t="str">
        <x:v>Acetophenone</x:v>
      </x:c>
      <x:c r="B41" s="41" t="str">
        <x:v>98-86-2</x:v>
      </x:c>
      <x:c r="C41" s="41" t="str">
        <x:v>Cpl</x:v>
      </x:c>
      <x:c r="D41" s="41" t="str">
        <x:v>ZABRANSKY_SPLINE_C</x:v>
      </x:c>
      <x:c r="E41" s="41" t="str">
        <x:v>Public correlation / fitted data</x:v>
      </x:c>
      <x:c r="F41" s="50" t="n">
        <x:v>298.2</x:v>
      </x:c>
      <x:c r="G41" s="50" t="n">
        <x:v>638.64</x:v>
      </x:c>
      <x:c r="H41" s="41" t="str">
        <x:v>Cpl_JmolK = A + B*x + C*x^2 + D*x^3 + E*x^4; x=(T-298.15)/100</x:v>
      </x:c>
      <x:c r="I41" s="41" t="str">
        <x:v>Cp in J/mol/K; T in K</x:v>
      </x:c>
      <x:c r="J41" s="50" t="n">
        <x:v>204.85925535232656</x:v>
      </x:c>
      <x:c r="K41" s="50" t="n">
        <x:v>32.90599143876807</x:v>
      </x:c>
      <x:c r="L41" s="50" t="n">
        <x:v>-1.6219999095433735</x:v>
      </x:c>
      <x:c r="M41" s="50" t="n">
        <x:v>0.7526085272694366</x:v>
      </x:c>
      <x:c r="N41" s="50" t="n">
        <x:v>8.888937197967475e-14</x:v>
      </x:c>
      <x:c r="O41" s="50"/>
      <x:c r="P41" s="50"/>
      <x:c r="Q41" s="50"/>
      <x:c r="R41" s="50"/>
      <x:c r="S41" s="50" t="n">
        <x:v>5.869483321628718e-14</x:v>
      </x:c>
      <x:c r="T41" s="50" t="n">
        <x:v>1.248539358044598e-13</x:v>
      </x:c>
      <x:c r="U41" s="41" t="str">
        <x:v>{}</x:v>
      </x:c>
      <x:c r="V41" s="41" t="str">
        <x:v>https://webbook.nist.gov/cgi/cbook.cgi?ID=C98862&amp;Mask=FFF</x:v>
      </x:c>
      <x:c r="W41" s="41" t="str">
        <x:v>https://thermo.readthedocs.io/thermo.chemical.html</x:v>
      </x:c>
      <x:c r="X41" s="50" t="n">
        <x:v>204.8592557624746</x:v>
      </x:c>
      <x:c r="Y41" s="51" t="b">
        <x:v>0</x:v>
      </x:c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41" t="str">
        <x:v>Acetophenone</x:v>
      </x:c>
      <x:c r="B42" s="41" t="str">
        <x:v>98-86-2</x:v>
      </x:c>
      <x:c r="C42" s="41" t="str">
        <x:v>Cpg</x:v>
      </x:c>
      <x:c r="D42" s="41" t="str">
        <x:v>JOBACK</x:v>
      </x:c>
      <x:c r="E42" s="41" t="str">
        <x:v>Engineering estimate</x:v>
      </x:c>
      <x:c r="F42" s="50" t="n">
        <x:v>256.27</x:v>
      </x:c>
      <x:c r="G42" s="50" t="n">
        <x:v>1000</x:v>
      </x:c>
      <x:c r="H42" s="41" t="str">
        <x:v>Cpg_JmolK = A + B*x + C*x^2 + D*x^3 + E*x^4; x=(T-298.15)/100</x:v>
      </x:c>
      <x:c r="I42" s="41" t="str">
        <x:v>Cp in J/mol/K; T in K</x:v>
      </x:c>
      <x:c r="J42" s="50" t="n">
        <x:v>129.91132523808986</x:v>
      </x:c>
      <x:c r="K42" s="50" t="n">
        <x:v>43.093912967305016</x:v>
      </x:c>
      <x:c r="L42" s="50" t="n">
        <x:v>-3.340435529999987</x:v>
      </x:c>
      <x:c r="M42" s="50" t="n">
        <x:v>0.10045999999999795</x:v>
      </x:c>
      <x:c r="N42" s="50" t="n">
        <x:v>1.0792036838669736e-16</x:v>
      </x:c>
      <x:c r="O42" s="50"/>
      <x:c r="P42" s="50"/>
      <x:c r="Q42" s="50"/>
      <x:c r="R42" s="50"/>
      <x:c r="S42" s="50" t="n">
        <x:v>5.3930445966616144e-14</x:v>
      </x:c>
      <x:c r="T42" s="50" t="n">
        <x:v>1.1572859804624622e-13</x:v>
      </x:c>
      <x:c r="U42" s="41" t="str">
        <x:v>{"DIPPR100_parameters":{"A":-30.93,"B":0.65692,"C":-0.0004239,"D":1.0046e-07,"Tmax":1712.7116,"Tmin":256.27}}</x:v>
      </x:c>
      <x:c r="V42" s="41" t="str">
        <x:v>https://webbook.nist.gov/cgi/cbook.cgi?ID=C98862&amp;Mask=FFF</x:v>
      </x:c>
      <x:c r="W42" s="41" t="str">
        <x:v>https://thermo.readthedocs.io/thermo.chemical.html</x:v>
      </x:c>
      <x:c r="X42" s="50" t="n">
        <x:v>129.91132523808992</x:v>
      </x:c>
      <x:c r="Y42" s="51" t="b">
        <x:v>1</x:v>
      </x:c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41" t="str">
        <x:v>Acetophenone</x:v>
      </x:c>
      <x:c r="B43" s="41" t="str">
        <x:v>98-86-2</x:v>
      </x:c>
      <x:c r="C43" s="41" t="str">
        <x:v>rhol</x:v>
      </x:c>
      <x:c r="D43" s="41" t="str">
        <x:v>VDI_PPDS</x:v>
      </x:c>
      <x:c r="E43" s="41" t="str">
        <x:v>Public correlation / fitted data</x:v>
      </x:c>
      <x:c r="F43" s="50" t="n">
        <x:v>295.15</x:v>
      </x:c>
      <x:c r="G43" s="50" t="n">
        <x:v>638.64</x:v>
      </x:c>
      <x:c r="H43" s="41" t="str">
        <x:v>rhoL_kgm3 = A + B*x + C*x^2 + D*x^3; x=(T-298.15)/100</x:v>
      </x:c>
      <x:c r="I43" s="41" t="str">
        <x:v>rho in kg/m^3; T in K</x:v>
      </x:c>
      <x:c r="J43" s="50" t="n">
        <x:v>1024.256237702994</x:v>
      </x:c>
      <x:c r="K43" s="50" t="n">
        <x:v>-89.95441958049668</x:v>
      </x:c>
      <x:c r="L43" s="50" t="n">
        <x:v>3.0361942881790616</x:v>
      </x:c>
      <x:c r="M43" s="50" t="n">
        <x:v>-2.771259651535499</x:v>
      </x:c>
      <x:c r="N43" s="50"/>
      <x:c r="O43" s="50"/>
      <x:c r="P43" s="50"/>
      <x:c r="Q43" s="50"/>
      <x:c r="R43" s="50"/>
      <x:c r="S43" s="50" t="n">
        <x:v>0.08494343918308742</x:v>
      </x:c>
      <x:c r="T43" s="50" t="n">
        <x:v>0.37357593159657243</x:v>
      </x:c>
      <x:c r="U43" s="41" t="str">
        <x:v>{"volume_VDI_PPDS_parameters":{"MW":120.15,"Tc":709.5,"Tmax":709.5,"Tmin":212.85,"a":729.4145,"b":-204.6406,"c":556.0093,"d":-145.9565,"rhoc":311.0}}</x:v>
      </x:c>
      <x:c r="V43" s="41" t="str">
        <x:v>https://webbook.nist.gov/cgi/cbook.cgi?ID=C98862&amp;Mask=FFF</x:v>
      </x:c>
      <x:c r="W43" s="41" t="str">
        <x:v>https://thermo.readthedocs.io/thermo.chemical.html</x:v>
      </x:c>
      <x:c r="X43" s="50" t="n">
        <x:v>1023.218221118722</x:v>
      </x:c>
      <x:c r="Y43" s="51" t="b">
        <x:v>1</x:v>
      </x:c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41" t="str">
        <x:v>Acetophenone</x:v>
      </x:c>
      <x:c r="B44" s="41" t="str">
        <x:v>98-86-2</x:v>
      </x:c>
      <x:c r="C44" s="41" t="str">
        <x:v>mul</x:v>
      </x:c>
      <x:c r="D44" s="41" t="str">
        <x:v>VDI_PPDS</x:v>
      </x:c>
      <x:c r="E44" s="41" t="str">
        <x:v>Public correlation / fitted data</x:v>
      </x:c>
      <x:c r="F44" s="50" t="n">
        <x:v>295.15</x:v>
      </x:c>
      <x:c r="G44" s="50" t="n">
        <x:v>510</x:v>
      </x:c>
      <x:c r="H44" s="41" t="str">
        <x:v>ln(muL_Pas) = A + B*x + C*x^2 + D*x^3 + E*x^4 + F*x^5; x=(T-298.15)/100</x:v>
      </x:c>
      <x:c r="I44" s="41" t="str">
        <x:v>mu in Pa*s; T in K</x:v>
      </x:c>
      <x:c r="J44" s="50" t="n">
        <x:v>-6.408752527392717</x:v>
      </x:c>
      <x:c r="K44" s="50" t="n">
        <x:v>-1.9015826796579272</x:v>
      </x:c>
      <x:c r="L44" s="50" t="n">
        <x:v>1.249986168284807</x:v>
      </x:c>
      <x:c r="M44" s="50" t="n">
        <x:v>-0.8272309550924708</x:v>
      </x:c>
      <x:c r="N44" s="50" t="n">
        <x:v>0.35842882752910254</x:v>
      </x:c>
      <x:c r="O44" s="50" t="n">
        <x:v>-0.07011823640350581</x:v>
      </x:c>
      <x:c r="P44" s="50"/>
      <x:c r="Q44" s="50"/>
      <x:c r="R44" s="50"/>
      <x:c r="S44" s="50" t="n">
        <x:v>0.169109375074627</x:v>
      </x:c>
      <x:c r="T44" s="50" t="n">
        <x:v>0.877619251831264</x:v>
      </x:c>
      <x:c r="U44" s="41" t="str">
        <x:v>{"PPDS9_parameters":{"A":1.3399,"B":0.7207,"C":519.145,"D":125.271,"E":0.00014141,"Tmax":709.6,"Tmin":293.15}}</x:v>
      </x:c>
      <x:c r="V44" s="41" t="str">
        <x:v>https://webbook.nist.gov/cgi/cbook.cgi?ID=C98862&amp;Mask=FFF</x:v>
      </x:c>
      <x:c r="W44" s="41" t="str">
        <x:v>https://thermo.readthedocs.io/thermo.chemical.html</x:v>
      </x:c>
      <x:c r="X44" s="50" t="n">
        <x:v>0.0016453557393504119</x:v>
      </x:c>
      <x:c r="Y44" s="51" t="b">
        <x:v>1</x:v>
      </x:c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41" t="str">
        <x:v>Acetophenone</x:v>
      </x:c>
      <x:c r="B45" s="41" t="str">
        <x:v>98-86-2</x:v>
      </x:c>
      <x:c r="C45" s="41" t="str">
        <x:v>mug</x:v>
      </x:c>
      <x:c r="D45" s="41" t="str">
        <x:v>VDI_PPDS</x:v>
      </x:c>
      <x:c r="E45" s="41" t="str">
        <x:v>Public correlation / fitted data</x:v>
      </x:c>
      <x:c r="F45" s="50" t="n">
        <x:v>250</x:v>
      </x:c>
      <x:c r="G45" s="50" t="n">
        <x:v>1000</x:v>
      </x:c>
      <x:c r="H45" s="41" t="str">
        <x:v>muG_uPas = A + B*x + C*x^2 + D*x^3 + E*x^4 + F*x^5; x=(T-298.15)/100</x:v>
      </x:c>
      <x:c r="I45" s="41" t="str">
        <x:v>mu in microPa*s; T in K</x:v>
      </x:c>
      <x:c r="J45" s="50" t="n">
        <x:v>6.504985731915002</x:v>
      </x:c>
      <x:c r="K45" s="50" t="n">
        <x:v>2.3232268199999986</x:v>
      </x:c>
      <x:c r="L45" s="50" t="n">
        <x:v>-0.015859999999998684</x:v>
      </x:c>
      <x:c r="M45" s="50" t="n">
        <x:v>-6.514028295018814e-16</x:v>
      </x:c>
      <x:c r="N45" s="50" t="n">
        <x:v>1.4475261161933694e-16</x:v>
      </x:c>
      <x:c r="O45" s="50" t="n">
        <x:v>-9.483253615679139e-18</x:v>
      </x:c>
      <x:c r="P45" s="50"/>
      <x:c r="Q45" s="50"/>
      <x:c r="R45" s="50"/>
      <x:c r="S45" s="50" t="n">
        <x:v>3.4120548974751736e-14</x:v>
      </x:c>
      <x:c r="T45" s="50" t="n">
        <x:v>9.228069314096773e-14</x:v>
      </x:c>
      <x:c r="U45" s="41" t="str">
        <x:v>{"DIPPR100_parameters":{"A":-5.627e-07,"B":2.4178000000000003e-08,"C":-1.5859999999999997e-12,"D":0.0,"E":0.0,"Tmax":10000,"Tmin":0.001}}</x:v>
      </x:c>
      <x:c r="V45" s="41" t="str">
        <x:v>https://webbook.nist.gov/cgi/cbook.cgi?ID=C98862&amp;Mask=FFF</x:v>
      </x:c>
      <x:c r="W45" s="41" t="str">
        <x:v>https://thermo.readthedocs.io/thermo.chemical.html</x:v>
      </x:c>
      <x:c r="X45" s="50" t="n">
        <x:v>0.000006504985731915001</x:v>
      </x:c>
      <x:c r="Y45" s="51" t="b">
        <x:v>1</x:v>
      </x:c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Z1"/>
  </x:mergeCells>
  <x:conditionalFormatting sqref="E4:E45">
    <x:cfRule type="expression" dxfId="3" priority="1">
      <x:formula>ISNUMBER(SEARCH("estimate",E4))</x:formula>
    </x:cfRule>
  </x:conditionalFormatting>
  <x:conditionalFormatting sqref="T4:T45">
    <x:cfRule type="cellIs" dxfId="4" priority="2" operator="greaterThan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c0dbb86a6a4f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>
      <x:c r="A1" s="38" t="str">
        <x:v>Convenience temperature grid from selected source models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Compound</x:v>
      </x:c>
      <x:c r="B3" s="40" t="str">
        <x:v>CAS</x:v>
      </x:c>
      <x:c r="C3" s="40" t="str">
        <x:v>T_K</x:v>
      </x:c>
      <x:c r="D3" s="40" t="str">
        <x:v>Psat</x:v>
      </x:c>
      <x:c r="E3" s="40" t="str">
        <x:v>Hvap</x:v>
      </x:c>
      <x:c r="F3" s="40" t="str">
        <x:v>Cpl</x:v>
      </x:c>
      <x:c r="G3" s="40" t="str">
        <x:v>Cpg</x:v>
      </x:c>
      <x:c r="H3" s="40" t="str">
        <x:v>rhol</x:v>
      </x:c>
      <x:c r="I3" s="40" t="str">
        <x:v>Vml_m3mol</x:v>
      </x:c>
      <x:c r="J3" s="40" t="str">
        <x:v>mul</x:v>
      </x:c>
      <x:c r="K3" s="40" t="str">
        <x:v>mug</x:v>
      </x:c>
      <x:c r="L3" s="40" t="str">
        <x:v>liquid_range_note</x:v>
      </x:c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39" t="str">
        <x:v>Glycerol</x:v>
      </x:c>
      <x:c r="B4" s="39" t="str">
        <x:v>56-81-5</x:v>
      </x:c>
      <x:c r="C4" s="54" t="n">
        <x:v>250</x:v>
      </x:c>
      <x:c r="D4" s="54" t="n">
        <x:v>0.00002204418918012694</x:v>
      </x:c>
      <x:c r="E4" s="54" t="n">
        <x:v>84997.01925557994</x:v>
      </x:c>
      <x:c r="F4" s="54" t="n">
        <x:v>195.49018551787705</x:v>
      </x:c>
      <x:c r="G4" s="54" t="n">
        <x:v>100.06766861697736</x:v>
      </x:c>
      <x:c r="H4" s="54" t="n">
        <x:v>1285.0245651958257</x:v>
      </x:c>
      <x:c r="I4" s="54" t="n">
        <x:v>0.00007166697236326043</x:v>
      </x:c>
      <x:c r="J4" s="54"/>
      <x:c r="K4" s="54" t="n">
        <x:v>0.0000056724</x:v>
      </x:c>
      <x:c r="L4" s="41" t="str">
        <x:v>Below melting point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39" t="str">
        <x:v>Glycerol</x:v>
      </x:c>
      <x:c r="B5" s="39" t="str">
        <x:v>56-81-5</x:v>
      </x:c>
      <x:c r="C5" s="54" t="n">
        <x:v>273.15</x:v>
      </x:c>
      <x:c r="D5" s="54" t="n">
        <x:v>0.0008517969376918048</x:v>
      </x:c>
      <x:c r="E5" s="54" t="n">
        <x:v>85461.05474908455</x:v>
      </x:c>
      <x:c r="F5" s="54" t="n">
        <x:v>206.53327189081682</x:v>
      </x:c>
      <x:c r="G5" s="54" t="n">
        <x:v>106.41500658182493</x:v>
      </x:c>
      <x:c r="H5" s="54" t="n">
        <x:v>1273.833524229878</x:v>
      </x:c>
      <x:c r="I5" s="54" t="n">
        <x:v>0.00007229658997683955</x:v>
      </x:c>
      <x:c r="J5" s="54"/>
      <x:c r="K5" s="54" t="n">
        <x:v>0.000006201090282579999</x:v>
      </x:c>
      <x:c r="L5" s="41" t="str">
        <x:v>Below melting point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39" t="str">
        <x:v>Glycerol</x:v>
      </x:c>
      <x:c r="B6" s="39" t="str">
        <x:v>56-81-5</x:v>
      </x:c>
      <x:c r="C6" s="54" t="n">
        <x:v>298.15</x:v>
      </x:c>
      <x:c r="D6" s="54" t="n">
        <x:v>0.023250076448826002</x:v>
      </x:c>
      <x:c r="E6" s="54" t="n">
        <x:v>85423.29367374067</x:v>
      </x:c>
      <x:c r="F6" s="54" t="n">
        <x:v>218.45885112722797</x:v>
      </x:c>
      <x:c r="G6" s="54" t="n">
        <x:v>113.26011366674123</x:v>
      </x:c>
      <x:c r="H6" s="54" t="n">
        <x:v>1258.070670377111</x:v>
      </x:c>
      <x:c r="I6" s="54" t="n">
        <x:v>0.00007320242190559498</x:v>
      </x:c>
      <x:c r="J6" s="54" t="n">
        <x:v>0.9275999799980705</x:v>
      </x:c>
      <x:c r="K6" s="54" t="n">
        <x:v>0.000006772424942579999</x:v>
      </x:c>
      <x:c r="L6" s="41" t="str">
        <x:v>Evaluate phase applicability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39" t="str">
        <x:v>Glycerol</x:v>
      </x:c>
      <x:c r="B7" s="39" t="str">
        <x:v>56-81-5</x:v>
      </x:c>
      <x:c r="C7" s="54" t="n">
        <x:v>323.15</x:v>
      </x:c>
      <x:c r="D7" s="54" t="n">
        <x:v>0.36468787522106677</x:v>
      </x:c>
      <x:c r="E7" s="54" t="n">
        <x:v>84907.50481920387</x:v>
      </x:c>
      <x:c r="F7" s="54" t="n">
        <x:v>230.384430363541</x:v>
      </x:c>
      <x:c r="G7" s="54" t="n">
        <x:v>119.93281996760372</x:v>
      </x:c>
      <x:c r="H7" s="54" t="n">
        <x:v>1241.8979678044816</x:v>
      </x:c>
      <x:c r="I7" s="54" t="n">
        <x:v>0.00007415570553095454</x:v>
      </x:c>
      <x:c r="J7" s="54" t="n">
        <x:v>0.15140082749002448</x:v>
      </x:c>
      <x:c r="K7" s="54" t="n">
        <x:v>0.0000073441696025799994</x:v>
      </x:c>
      <x:c r="L7" s="41" t="str">
        <x:v>Evaluate phase applicability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39" t="str">
        <x:v>Glycerol</x:v>
      </x:c>
      <x:c r="B8" s="39" t="str">
        <x:v>56-81-5</x:v>
      </x:c>
      <x:c r="C8" s="54" t="n">
        <x:v>350</x:v>
      </x:c>
      <x:c r="D8" s="54" t="n">
        <x:v>4.275475026392343</x:v>
      </x:c>
      <x:c r="E8" s="54" t="n">
        <x:v>83903.55650135549</x:v>
      </x:c>
      <x:c r="F8" s="54" t="n">
        <x:v>243.19250246334113</x:v>
      </x:c>
      <x:c r="G8" s="54" t="n">
        <x:v>126.84602500000001</x:v>
      </x:c>
      <x:c r="H8" s="54" t="n">
        <x:v>1224.042425860802</x:v>
      </x:c>
      <x:c r="I8" s="54" t="n">
        <x:v>0.00007523744116568136</x:v>
      </x:c>
      <x:c r="J8" s="54" t="n">
        <x:v>0.03632751792416439</x:v>
      </x:c>
      <x:c r="K8" s="54" t="n">
        <x:v>0.000007958680000000001</x:v>
      </x:c>
      <x:c r="L8" s="41" t="str">
        <x:v>Evaluate phase applicability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39" t="str">
        <x:v>Glycerol</x:v>
      </x:c>
      <x:c r="B9" s="39" t="str">
        <x:v>56-81-5</x:v>
      </x:c>
      <x:c r="C9" s="54" t="n">
        <x:v>373.15</x:v>
      </x:c>
      <x:c r="D9" s="54" t="n">
        <x:v>25.761716160304257</x:v>
      </x:c>
      <x:c r="E9" s="54" t="n">
        <x:v>82720.94983251567</x:v>
      </x:c>
      <x:c r="F9" s="54" t="n">
        <x:v>254.23558883616704</x:v>
      </x:c>
      <x:c r="G9" s="54" t="n">
        <x:v>132.60062118182873</x:v>
      </x:c>
      <x:c r="H9" s="54" t="n">
        <x:v>1208.2160646589743</x:v>
      </x:c>
      <x:c r="I9" s="54" t="n">
        <x:v>0.00007622297260713379</x:v>
      </x:c>
      <x:c r="J9" s="54" t="n">
        <x:v>0.014490071547815871</x:v>
      </x:c>
      <x:c r="K9" s="54" t="n">
        <x:v>0.000008488888922579999</x:v>
      </x:c>
      <x:c r="L9" s="41" t="str">
        <x:v>Evaluate phase applicability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39" t="str">
        <x:v>Glycerol</x:v>
      </x:c>
      <x:c r="B10" s="39" t="str">
        <x:v>56-81-5</x:v>
      </x:c>
      <x:c r="C10" s="54" t="n">
        <x:v>400</x:v>
      </x:c>
      <x:c r="D10" s="54" t="n">
        <x:v>152.70862863208816</x:v>
      </x:c>
      <x:c r="E10" s="54" t="n">
        <x:v>81038.74388524024</x:v>
      </x:c>
      <x:c r="F10" s="54" t="n">
        <x:v>267.04366093508753</x:v>
      </x:c>
      <x:c r="G10" s="54" t="n">
        <x:v>139.0416</x:v>
      </x:c>
      <x:c r="H10" s="54" t="n">
        <x:v>1189.3228656690922</x:v>
      </x:c>
      <x:c r="I10" s="54" t="n">
        <x:v>0.00007743382613617676</x:v>
      </x:c>
      <x:c r="J10" s="54" t="n">
        <x:v>0.006525216363108021</x:v>
      </x:c>
      <x:c r="K10" s="54" t="n">
        <x:v>0.00000910428</x:v>
      </x:c>
      <x:c r="L10" s="41" t="str">
        <x:v>Evaluate phase applicability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39" t="str">
        <x:v>Glycerol</x:v>
      </x:c>
      <x:c r="B11" s="39" t="str">
        <x:v>56-81-5</x:v>
      </x:c>
      <x:c r="C11" s="54" t="n">
        <x:v>450</x:v>
      </x:c>
      <x:c r="D11" s="54" t="n">
        <x:v>2153.0881957002903</x:v>
      </x:c>
      <x:c r="E11" s="54" t="n">
        <x:v>77184.49868363938</x:v>
      </x:c>
      <x:c r="F11" s="54" t="n">
        <x:v>290.8948194051711</x:v>
      </x:c>
      <x:c r="G11" s="54" t="n">
        <x:v>150.388575</x:v>
      </x:c>
      <x:c r="H11" s="54" t="n">
        <x:v>1152.4363835118124</x:v>
      </x:c>
      <x:c r="I11" s="54" t="n">
        <x:v>0.00007991228090123557</x:v>
      </x:c>
      <x:c r="J11" s="54" t="n">
        <x:v>0.0025748344496577466</x:v>
      </x:c>
      <x:c r="K11" s="54" t="n">
        <x:v>0.00001025152</x:v>
      </x:c>
      <x:c r="L11" s="41" t="str">
        <x:v>Evaluate phase applicability</x:v>
      </x:c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39" t="str">
        <x:v>Glycerol</x:v>
      </x:c>
      <x:c r="B12" s="39" t="str">
        <x:v>56-81-5</x:v>
      </x:c>
      <x:c r="C12" s="54" t="n">
        <x:v>500</x:v>
      </x:c>
      <x:c r="D12" s="54" t="n">
        <x:v>16033.42958677194</x:v>
      </x:c>
      <x:c r="E12" s="54" t="n">
        <x:v>72588.58364254615</x:v>
      </x:c>
      <x:c r="F12" s="54" t="n">
        <x:v>314.7459778752547</x:v>
      </x:c>
      <x:c r="G12" s="54" t="n">
        <x:v>160.92700000000002</x:v>
      </x:c>
      <x:c r="H12" s="54" t="n">
        <x:v>1112.986815592569</x:v>
      </x:c>
      <x:c r="I12" s="54" t="n">
        <x:v>0.00008274475376509112</x:v>
      </x:c>
      <x:c r="J12" s="54" t="n">
        <x:v>0.0017326597980777316</x:v>
      </x:c>
      <x:c r="K12" s="54" t="n">
        <x:v>0.0000114004</x:v>
      </x:c>
      <x:c r="L12" s="41" t="str">
        <x:v>Evaluate phase applicability</x:v>
      </x:c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39" t="str">
        <x:v>Glycerol</x:v>
      </x:c>
      <x:c r="B13" s="39" t="str">
        <x:v>56-81-5</x:v>
      </x:c>
      <x:c r="C13" s="54" t="n">
        <x:v>550</x:v>
      </x:c>
      <x:c r="D13" s="54" t="n">
        <x:v>75814.3182027854</x:v>
      </x:c>
      <x:c r="E13" s="54" t="n">
        <x:v>67386.35043506145</x:v>
      </x:c>
      <x:c r="F13" s="54" t="n">
        <x:v>338.5971363453383</x:v>
      </x:c>
      <x:c r="G13" s="54" t="n">
        <x:v>170.696925</x:v>
      </x:c>
      <x:c r="H13" s="54" t="n">
        <x:v>1070.4163017192448</x:v>
      </x:c>
      <x:c r="I13" s="54" t="n">
        <x:v>0.00008603551707133372</x:v>
      </x:c>
      <x:c r="J13" s="54"/>
      <x:c r="K13" s="54" t="n">
        <x:v>0.00001255092</x:v>
      </x:c>
      <x:c r="L13" s="41" t="str">
        <x:v>Evaluate phase applicability</x:v>
      </x:c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39" t="str">
        <x:v>Glycerol</x:v>
      </x:c>
      <x:c r="B14" s="39" t="str">
        <x:v>56-81-5</x:v>
      </x:c>
      <x:c r="C14" s="54" t="n">
        <x:v>600</x:v>
      </x:c>
      <x:c r="D14" s="54" t="n">
        <x:v>257173.79423756464</x:v>
      </x:c>
      <x:c r="E14" s="54" t="n">
        <x:v>61610.98354219225</x:v>
      </x:c>
      <x:c r="F14" s="54" t="n">
        <x:v>362.44829481542195</x:v>
      </x:c>
      <x:c r="G14" s="54" t="n">
        <x:v>179.7384</x:v>
      </x:c>
      <x:c r="H14" s="54" t="n">
        <x:v>1023.8961404647436</x:v>
      </x:c>
      <x:c r="I14" s="54" t="n">
        <x:v>0.00008994449374347565</x:v>
      </x:c>
      <x:c r="J14" s="54"/>
      <x:c r="K14" s="54" t="n">
        <x:v>0.00001370308</x:v>
      </x:c>
      <x:c r="L14" s="41" t="str">
        <x:v>Evaluate phase applicability</x:v>
      </x:c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39" t="str">
        <x:v>Aniline</x:v>
      </x:c>
      <x:c r="B15" s="39" t="str">
        <x:v>62-53-3</x:v>
      </x:c>
      <x:c r="C15" s="54" t="n">
        <x:v>250</x:v>
      </x:c>
      <x:c r="D15" s="54" t="n">
        <x:v>1.2374396354110906</x:v>
      </x:c>
      <x:c r="E15" s="54" t="n">
        <x:v>55599.503660562</x:v>
      </x:c>
      <x:c r="F15" s="54" t="n">
        <x:v>184.13525762750612</x:v>
      </x:c>
      <x:c r="G15" s="54" t="n">
        <x:v>90.40654980427001</x:v>
      </x:c>
      <x:c r="H15" s="54" t="n">
        <x:v>1054.0378488669637</x:v>
      </x:c>
      <x:c r="I15" s="54" t="n">
        <x:v>0.00008835212141585443</x:v>
      </x:c>
      <x:c r="J15" s="54"/>
      <x:c r="K15" s="54" t="n">
        <x:v>0.0000054727625</x:v>
      </x:c>
      <x:c r="L15" s="41" t="str">
        <x:v>Below melting point</x:v>
      </x:c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39" t="str">
        <x:v>Aniline</x:v>
      </x:c>
      <x:c r="B16" s="39" t="str">
        <x:v>62-53-3</x:v>
      </x:c>
      <x:c r="C16" s="54" t="n">
        <x:v>273.15</x:v>
      </x:c>
      <x:c r="D16" s="54" t="n">
        <x:v>11.891218245269929</x:v>
      </x:c>
      <x:c r="E16" s="54" t="n">
        <x:v>54477.73772805336</x:v>
      </x:c>
      <x:c r="F16" s="54" t="n">
        <x:v>187.61264970143318</x:v>
      </x:c>
      <x:c r="G16" s="54" t="n">
        <x:v>99.02017854936084</x:v>
      </x:c>
      <x:c r="H16" s="54" t="n">
        <x:v>1036.0194566433793</x:v>
      </x:c>
      <x:c r="I16" s="54" t="n">
        <x:v>0.00008988873655107057</x:v>
      </x:c>
      <x:c r="J16" s="54" t="n">
        <x:v>0.010339588689527118</x:v>
      </x:c>
      <x:c r="K16" s="54" t="n">
        <x:v>0.0000060425418136525</x:v>
      </x:c>
      <x:c r="L16" s="41" t="str">
        <x:v>Evaluate phase applicability</x:v>
      </x:c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39" t="str">
        <x:v>Aniline</x:v>
      </x:c>
      <x:c r="B17" s="39" t="str">
        <x:v>62-53-3</x:v>
      </x:c>
      <x:c r="C17" s="54" t="n">
        <x:v>298.15</x:v>
      </x:c>
      <x:c r="D17" s="54" t="n">
        <x:v>88.90282363503431</x:v>
      </x:c>
      <x:c r="E17" s="54" t="n">
        <x:v>53286.24715701117</x:v>
      </x:c>
      <x:c r="F17" s="54" t="n">
        <x:v>191.45031410549737</x:v>
      </x:c>
      <x:c r="G17" s="54" t="n">
        <x:v>108.1372518088603</x:v>
      </x:c>
      <x:c r="H17" s="54" t="n">
        <x:v>1016.1500162375931</x:v>
      </x:c>
      <x:c r="I17" s="54" t="n">
        <x:v>0.00009164638932429583</x:v>
      </x:c>
      <x:c r="J17" s="54" t="n">
        <x:v>0.0038375433579920792</x:v>
      </x:c>
      <x:c r="K17" s="54" t="n">
        <x:v>0.0000066531223061525</x:v>
      </x:c>
      <x:c r="L17" s="41" t="str">
        <x:v>Evaluate phase applicability</x:v>
      </x:c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39" t="str">
        <x:v>Aniline</x:v>
      </x:c>
      <x:c r="B18" s="39" t="str">
        <x:v>62-53-3</x:v>
      </x:c>
      <x:c r="C18" s="54" t="n">
        <x:v>323.15</x:v>
      </x:c>
      <x:c r="D18" s="54" t="n">
        <x:v>465.77068078788926</x:v>
      </x:c>
      <x:c r="E18" s="54" t="n">
        <x:v>52089.387393367695</x:v>
      </x:c>
      <x:c r="F18" s="54" t="n">
        <x:v>195.51507889395822</x:v>
      </x:c>
      <x:c r="G18" s="54" t="n">
        <x:v>116.99211349040027</x:v>
      </x:c>
      <x:c r="H18" s="54" t="n">
        <x:v>995.809641816657</x:v>
      </x:c>
      <x:c r="I18" s="54" t="n">
        <x:v>0.00009351835540586776</x:v>
      </x:c>
      <x:c r="J18" s="54" t="n">
        <x:v>0.0019513800694005681</x:v>
      </x:c>
      <x:c r="K18" s="54" t="n">
        <x:v>0.000007258789048652501</x:v>
      </x:c>
      <x:c r="L18" s="41" t="str">
        <x:v>Evaluate phase applicability</x:v>
      </x:c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39" t="str">
        <x:v>Aniline</x:v>
      </x:c>
      <x:c r="B19" s="39" t="str">
        <x:v>62-53-3</x:v>
      </x:c>
      <x:c r="C19" s="54" t="n">
        <x:v>350</x:v>
      </x:c>
      <x:c r="D19" s="54" t="n">
        <x:v>2035.1660277354717</x:v>
      </x:c>
      <x:c r="E19" s="54" t="n">
        <x:v>50770.66114904318</x:v>
      </x:c>
      <x:c r="F19" s="54" t="n">
        <x:v>200.27618039443055</x:v>
      </x:c>
      <x:c r="G19" s="54" t="n">
        <x:v>126.16096181694044</x:v>
      </x:c>
      <x:c r="H19" s="54" t="n">
        <x:v>973.3787457333842</x:v>
      </x:c>
      <x:c r="I19" s="54" t="n">
        <x:v>0.0000956734266165167</x:v>
      </x:c>
      <x:c r="J19" s="54" t="n">
        <x:v>0.0011639878164799206</x:v>
      </x:c>
      <x:c r="K19" s="54" t="n">
        <x:v>0.0000079038025</x:v>
      </x:c>
      <x:c r="L19" s="41" t="str">
        <x:v>Evaluate phase applicability</x:v>
      </x:c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39" t="str">
        <x:v>Aniline</x:v>
      </x:c>
      <x:c r="B20" s="39" t="str">
        <x:v>62-53-3</x:v>
      </x:c>
      <x:c r="C20" s="54" t="n">
        <x:v>373.15</x:v>
      </x:c>
      <x:c r="D20" s="54" t="n">
        <x:v>5950.642590371815</x:v>
      </x:c>
      <x:c r="E20" s="54" t="n">
        <x:v>49585.76203447714</x:v>
      </x:c>
      <x:c r="F20" s="54" t="n">
        <x:v>204.82577823459692</x:v>
      </x:c>
      <x:c r="G20" s="54" t="n">
        <x:v>133.75824200387947</x:v>
      </x:c>
      <x:c r="H20" s="54" t="n">
        <x:v>953.4932707158216</x:v>
      </x:c>
      <x:c r="I20" s="54" t="n">
        <x:v>0.0000976687333410194</x:v>
      </x:c>
      <x:c r="J20" s="54" t="n">
        <x:v>0.0008331254702322739</x:v>
      </x:c>
      <x:c r="K20" s="54" t="n">
        <x:v>0.0000084553812836525</x:v>
      </x:c>
      <x:c r="L20" s="41" t="str">
        <x:v>Evaluate phase applicability</x:v>
      </x:c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39" t="str">
        <x:v>Aniline</x:v>
      </x:c>
      <x:c r="B21" s="39" t="str">
        <x:v>62-53-3</x:v>
      </x:c>
      <x:c r="C21" s="54" t="n">
        <x:v>400</x:v>
      </x:c>
      <x:c r="D21" s="54" t="n">
        <x:v>17209.0412197168</x:v>
      </x:c>
      <x:c r="E21" s="54" t="n">
        <x:v>48133.454968402526</x:v>
      </x:c>
      <x:c r="F21" s="54" t="n">
        <x:v>210.75569685980824</x:v>
      </x:c>
      <x:c r="G21" s="54" t="n">
        <x:v>142.1961416254956</x:v>
      </x:c>
      <x:c r="H21" s="54" t="n">
        <x:v>929.7116685494647</x:v>
      </x:c>
      <x:c r="I21" s="54" t="n">
        <x:v>0.00010016705517453153</x:v>
      </x:c>
      <x:c r="J21" s="54" t="n">
        <x:v>0.00061421514234527</x:v>
      </x:c>
      <x:c r="K21" s="54" t="n">
        <x:v>0.00000908984</x:v>
      </x:c>
      <x:c r="L21" s="41" t="str">
        <x:v>Evaluate phase applicability</x:v>
      </x:c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39" t="str">
        <x:v>Aniline</x:v>
      </x:c>
      <x:c r="B22" s="39" t="str">
        <x:v>62-53-3</x:v>
      </x:c>
      <x:c r="C22" s="54" t="n">
        <x:v>450</x:v>
      </x:c>
      <x:c r="D22" s="54" t="n">
        <x:v>83701.75160016907</x:v>
      </x:c>
      <x:c r="E22" s="54" t="n">
        <x:v>45123.743379693326</x:v>
      </x:c>
      <x:c r="F22" s="54" t="n">
        <x:v>224.03713630142002</x:v>
      </x:c>
      <x:c r="G22" s="54" t="n">
        <x:v>156.8200464424481</x:v>
      </x:c>
      <x:c r="H22" s="54" t="n">
        <x:v>882.9558473647793</x:v>
      </x:c>
      <x:c r="I22" s="54" t="n">
        <x:v>0.00010547127614358077</x:v>
      </x:c>
      <x:c r="J22" s="54" t="n">
        <x:v>0.00038483396169401864</x:v>
      </x:c>
      <x:c r="K22" s="54" t="n">
        <x:v>0.0000102562225</x:v>
      </x:c>
      <x:c r="L22" s="41" t="str">
        <x:v>Evaluate phase applicability</x:v>
      </x:c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39" t="str">
        <x:v>Aniline</x:v>
      </x:c>
      <x:c r="B23" s="39" t="str">
        <x:v>62-53-3</x:v>
      </x:c>
      <x:c r="C23" s="54" t="n">
        <x:v>500</x:v>
      </x:c>
      <x:c r="D23" s="54" t="n">
        <x:v>281091.9716969725</x:v>
      </x:c>
      <x:c r="E23" s="54" t="n">
        <x:v>41569.10435058237</x:v>
      </x:c>
      <x:c r="F23" s="54" t="n">
        <x:v>238.87825252772078</x:v>
      </x:c>
      <x:c r="G23" s="54" t="n">
        <x:v>170.0500223188226</x:v>
      </x:c>
      <x:c r="H23" s="54" t="n">
        <x:v>831.9987277635806</x:v>
      </x:c>
      <x:c r="I23" s="54" t="n">
        <x:v>0.00011193103654175618</x:v>
      </x:c>
      <x:c r="J23" s="54"/>
      <x:c r="K23" s="54" t="n">
        <x:v>0.000011402950000000002</x:v>
      </x:c>
      <x:c r="L23" s="41" t="str">
        <x:v>Evaluate phase applicability</x:v>
      </x:c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39" t="str">
        <x:v>Aniline</x:v>
      </x:c>
      <x:c r="B24" s="39" t="str">
        <x:v>62-53-3</x:v>
      </x:c>
      <x:c r="C24" s="54" t="n">
        <x:v>550</x:v>
      </x:c>
      <x:c r="D24" s="54" t="n">
        <x:v>730794.4724975158</x:v>
      </x:c>
      <x:c r="E24" s="54" t="n">
        <x:v>37235.622422978646</x:v>
      </x:c>
      <x:c r="F24" s="54" t="n">
        <x:v>252.41013189785397</x:v>
      </x:c>
      <x:c r="G24" s="54" t="n">
        <x:v>181.96383848444154</x:v>
      </x:c>
      <x:c r="H24" s="54" t="n">
        <x:v>774.8999921102189</x:v>
      </x:c>
      <x:c r="I24" s="54" t="n">
        <x:v>0.00012017870815354715</x:v>
      </x:c>
      <x:c r="J24" s="54"/>
      <x:c r="K24" s="54" t="n">
        <x:v>0.000012530022500000002</x:v>
      </x:c>
      <x:c r="L24" s="41" t="str">
        <x:v>Evaluate phase applicability</x:v>
      </x:c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39" t="str">
        <x:v>Aniline</x:v>
      </x:c>
      <x:c r="B25" s="39" t="str">
        <x:v>62-53-3</x:v>
      </x:c>
      <x:c r="C25" s="54" t="n">
        <x:v>600</x:v>
      </x:c>
      <x:c r="D25" s="54" t="n">
        <x:v>1586656.94160505</x:v>
      </x:c>
      <x:c r="E25" s="54" t="n">
        <x:v>31703.25535149905</x:v>
      </x:c>
      <x:c r="F25" s="54" t="n">
        <x:v>263.5079357075976</x:v>
      </x:c>
      <x:c r="G25" s="54" t="n">
        <x:v>192.67000376201685</x:v>
      </x:c>
      <x:c r="H25" s="54" t="n">
        <x:v>707.6940954222275</x:v>
      </x:c>
      <x:c r="I25" s="54" t="n">
        <x:v>0.00013159143279899556</x:v>
      </x:c>
      <x:c r="J25" s="54"/>
      <x:c r="K25" s="54" t="n">
        <x:v>0.000013637440000000002</x:v>
      </x:c>
      <x:c r="L25" s="41" t="str">
        <x:v>Evaluate phase applicability</x:v>
      </x:c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39" t="str">
        <x:v>Pyridine</x:v>
      </x:c>
      <x:c r="B26" s="39" t="str">
        <x:v>110-86-1</x:v>
      </x:c>
      <x:c r="C26" s="54" t="n">
        <x:v>250</x:v>
      </x:c>
      <x:c r="D26" s="54" t="n">
        <x:v>107.90478832054764</x:v>
      </x:c>
      <x:c r="E26" s="54" t="n">
        <x:v>42545.33316554672</x:v>
      </x:c>
      <x:c r="F26" s="54" t="n">
        <x:v>123.82609656815482</x:v>
      </x:c>
      <x:c r="G26" s="54" t="n">
        <x:v>63.921186176760905</x:v>
      </x:c>
      <x:c r="H26" s="54" t="n">
        <x:v>1025.3786485960647</x:v>
      </x:c>
      <x:c r="I26" s="54" t="n">
        <x:v>0.0000771421368177527</x:v>
      </x:c>
      <x:c r="J26" s="54" t="n">
        <x:v>0.002333242675866207</x:v>
      </x:c>
      <x:c r="K26" s="54" t="n">
        <x:v>0.000006058625</x:v>
      </x:c>
      <x:c r="L26" s="41" t="str">
        <x:v>Evaluate phase applicability</x:v>
      </x:c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39" t="str">
        <x:v>Pyridine</x:v>
      </x:c>
      <x:c r="B27" s="39" t="str">
        <x:v>110-86-1</x:v>
      </x:c>
      <x:c r="C27" s="54" t="n">
        <x:v>273.15</x:v>
      </x:c>
      <x:c r="D27" s="54" t="n">
        <x:v>608.2591057338994</x:v>
      </x:c>
      <x:c r="E27" s="54" t="n">
        <x:v>41365.30754676769</x:v>
      </x:c>
      <x:c r="F27" s="54" t="n">
        <x:v>127.8392899791019</x:v>
      </x:c>
      <x:c r="G27" s="54" t="n">
        <x:v>70.50169820204515</x:v>
      </x:c>
      <x:c r="H27" s="54" t="n">
        <x:v>1002.8798169790042</x:v>
      </x:c>
      <x:c r="I27" s="54" t="n">
        <x:v>0.00007887276088402523</x:v>
      </x:c>
      <x:c r="J27" s="54" t="n">
        <x:v>0.0013718198983516284</x:v>
      </x:c>
      <x:c r="K27" s="54" t="n">
        <x:v>0.000006671847621014999</x:v>
      </x:c>
      <x:c r="L27" s="41" t="str">
        <x:v>Evaluate phase applicability</x:v>
      </x:c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39" t="str">
        <x:v>Pyridine</x:v>
      </x:c>
      <x:c r="B28" s="39" t="str">
        <x:v>110-86-1</x:v>
      </x:c>
      <x:c r="C28" s="54" t="n">
        <x:v>298.15</x:v>
      </x:c>
      <x:c r="D28" s="54" t="n">
        <x:v>2767.1167144687324</x:v>
      </x:c>
      <x:c r="E28" s="54" t="n">
        <x:v>40122.30865098746</x:v>
      </x:c>
      <x:c r="F28" s="54" t="n">
        <x:v>132.68793227356278</x:v>
      </x:c>
      <x:c r="G28" s="54" t="n">
        <x:v>77.6080830437984</x:v>
      </x:c>
      <x:c r="H28" s="54" t="n">
        <x:v>977.8906925446398</x:v>
      </x:c>
      <x:c r="I28" s="54" t="n">
        <x:v>0.00008088828393914706</x:v>
      </x:c>
      <x:c r="J28" s="54" t="n">
        <x:v>0.0008852007364110944</x:v>
      </x:c>
      <x:c r="K28" s="54" t="n">
        <x:v>0.0000073316362760149985</x:v>
      </x:c>
      <x:c r="L28" s="41" t="str">
        <x:v>Evaluate phase applicability</x:v>
      </x:c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39" t="str">
        <x:v>Pyridine</x:v>
      </x:c>
      <x:c r="B29" s="39" t="str">
        <x:v>110-86-1</x:v>
      </x:c>
      <x:c r="C29" s="54" t="n">
        <x:v>323.15</x:v>
      </x:c>
      <x:c r="D29" s="54" t="n">
        <x:v>9556.209773544964</x:v>
      </x:c>
      <x:c r="E29" s="54" t="n">
        <x:v>38877.47704110668</x:v>
      </x:c>
      <x:c r="F29" s="54" t="n">
        <x:v>137.99663836244542</x:v>
      </x:c>
      <x:c r="G29" s="54" t="n">
        <x:v>84.70454611472667</x:v>
      </x:c>
      <x:c r="H29" s="54" t="n">
        <x:v>952.1025835717</x:v>
      </x:c>
      <x:c r="I29" s="54" t="n">
        <x:v>0.00008307917798444163</x:v>
      </x:c>
      <x:c r="J29" s="54" t="n">
        <x:v>0.0006339217494511994</x:v>
      </x:c>
      <x:c r="K29" s="54" t="n">
        <x:v>0.000007988892431015</x:v>
      </x:c>
      <x:c r="L29" s="41" t="str">
        <x:v>Evaluate phase applicability</x:v>
      </x:c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39" t="str">
        <x:v>Pyridine</x:v>
      </x:c>
      <x:c r="B30" s="39" t="str">
        <x:v>110-86-1</x:v>
      </x:c>
      <x:c r="C30" s="54" t="n">
        <x:v>350</x:v>
      </x:c>
      <x:c r="D30" s="54" t="n">
        <x:v>28675.66985887082</x:v>
      </x:c>
      <x:c r="E30" s="54" t="n">
        <x:v>37503.34595155242</x:v>
      </x:c>
      <x:c r="F30" s="54" t="n">
        <x:v>144.1234633165882</x:v>
      </x:c>
      <x:c r="G30" s="54" t="n">
        <x:v>92.22415556732024</x:v>
      </x:c>
      <x:c r="H30" s="54" t="n">
        <x:v>923.4015069323043</x:v>
      </x:c>
      <x:c r="I30" s="54" t="n">
        <x:v>0.0000856614369872356</x:v>
      </x:c>
      <x:c r="J30" s="54" t="n">
        <x:v>0.0004833273931794144</x:v>
      </x:c>
      <x:c r="K30" s="54" t="n">
        <x:v>0.000008691965000000002</x:v>
      </x:c>
      <x:c r="L30" s="41" t="str">
        <x:v>Evaluate phase applicability</x:v>
      </x:c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39" t="str">
        <x:v>Pyridine</x:v>
      </x:c>
      <x:c r="B31" s="39" t="str">
        <x:v>110-86-1</x:v>
      </x:c>
      <x:c r="C31" s="54" t="n">
        <x:v>373.15</x:v>
      </x:c>
      <x:c r="D31" s="54" t="n">
        <x:v>63690.84362088656</x:v>
      </x:c>
      <x:c r="E31" s="54" t="n">
        <x:v>36261.991483186095</x:v>
      </x:c>
      <x:c r="F31" s="54" t="n">
        <x:v>149.7146340584133</x:v>
      </x:c>
      <x:c r="G31" s="54" t="n">
        <x:v>98.54707116225525</x:v>
      </x:c>
      <x:c r="H31" s="54" t="n">
        <x:v>897.7041047041349</x:v>
      </x:c>
      <x:c r="I31" s="54" t="n">
        <x:v>0.00008811355499601922</x:v>
      </x:c>
      <x:c r="J31" s="54" t="n">
        <x:v>0.0004048775698978356</x:v>
      </x:c>
      <x:c r="K31" s="54" t="n">
        <x:v>0.000009295807241015001</x:v>
      </x:c>
      <x:c r="L31" s="41" t="str">
        <x:v>Evaluate phase applicability</x:v>
      </x:c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39" t="str">
        <x:v>Pyridine</x:v>
      </x:c>
      <x:c r="B32" s="39" t="str">
        <x:v>110-86-1</x:v>
      </x:c>
      <x:c r="C32" s="54" t="n">
        <x:v>400</x:v>
      </x:c>
      <x:c r="D32" s="54" t="n">
        <x:v>140359.5497540749</x:v>
      </x:c>
      <x:c r="E32" s="54" t="n">
        <x:v>34727.77762907743</x:v>
      </x:c>
      <x:c r="F32" s="54" t="n">
        <x:v>156.6441431475023</x:v>
      </x:c>
      <x:c r="G32" s="54" t="n">
        <x:v>105.63251887335196</x:v>
      </x:c>
      <x:c r="H32" s="54" t="n">
        <x:v>866.6194406407441</x:v>
      </x:c>
      <x:c r="I32" s="54" t="n">
        <x:v>0.00009127408905287961</x:v>
      </x:c>
      <x:c r="J32" s="54" t="n">
        <x:v>0.00034762892990805003</x:v>
      </x:c>
      <x:c r="K32" s="54" t="n">
        <x:v>0.000009993440000000001</x:v>
      </x:c>
      <x:c r="L32" s="41" t="str">
        <x:v>Evaluate phase applicability</x:v>
      </x:c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39" t="str">
        <x:v>Pyridine</x:v>
      </x:c>
      <x:c r="B33" s="39" t="str">
        <x:v>110-86-1</x:v>
      </x:c>
      <x:c r="C33" s="54" t="n">
        <x:v>450</x:v>
      </x:c>
      <x:c r="D33" s="54" t="n">
        <x:v>458165.7864627106</x:v>
      </x:c>
      <x:c r="E33" s="54" t="n">
        <x:v>31488.166949437502</x:v>
      </x:c>
      <x:c r="F33" s="54" t="n">
        <x:v>171.29574367011608</x:v>
      </x:c>
      <x:c r="G33" s="54" t="n">
        <x:v>117.98657129223491</x:v>
      </x:c>
      <x:c r="H33" s="54" t="n">
        <x:v>804.1286680825558</x:v>
      </x:c>
      <x:c r="I33" s="54" t="n">
        <x:v>0.00009836721800829915</x:v>
      </x:c>
      <x:c r="J33" s="54" t="n">
        <x:v>0.00029622656114789775</x:v>
      </x:c>
      <x:c r="K33" s="54" t="n">
        <x:v>0.000011284785000000001</x:v>
      </x:c>
      <x:c r="L33" s="41" t="str">
        <x:v>Evaluate phase applicability</x:v>
      </x:c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39" t="str">
        <x:v>Pyridine</x:v>
      </x:c>
      <x:c r="B34" s="39" t="str">
        <x:v>110-86-1</x:v>
      </x:c>
      <x:c r="C34" s="54" t="n">
        <x:v>500</x:v>
      </x:c>
      <x:c r="D34" s="54" t="n">
        <x:v>1148182.8745513523</x:v>
      </x:c>
      <x:c r="E34" s="54" t="n">
        <x:v>27509.033238215317</x:v>
      </x:c>
      <x:c r="F34" s="54" t="n">
        <x:v>189.00286763258813</x:v>
      </x:c>
      <x:c r="G34" s="54" t="n">
        <x:v>129.16804991026478</x:v>
      </x:c>
      <x:c r="H34" s="54" t="n">
        <x:v>733.0440500338074</x:v>
      </x:c>
      <x:c r="I34" s="54" t="n">
        <x:v>0.00010790606648584348</x:v>
      </x:c>
      <x:c r="J34" s="54"/>
      <x:c r="K34" s="54" t="n">
        <x:v>0.000012566000000000001</x:v>
      </x:c>
      <x:c r="L34" s="41" t="str">
        <x:v>Evaluate phase applicability</x:v>
      </x:c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39" t="str">
        <x:v>Pyridine</x:v>
      </x:c>
      <x:c r="B35" s="39" t="str">
        <x:v>110-86-1</x:v>
      </x:c>
      <x:c r="C35" s="54" t="n">
        <x:v>550</x:v>
      </x:c>
      <x:c r="D35" s="54" t="n">
        <x:v>2408461.500924142</x:v>
      </x:c>
      <x:c r="E35" s="54" t="n">
        <x:v>22244.79790218372</x:v>
      </x:c>
      <x:c r="F35" s="54" t="n">
        <x:v>210.68979227186543</x:v>
      </x:c>
      <x:c r="G35" s="54" t="n">
        <x:v>139.20178648967678</x:v>
      </x:c>
      <x:c r="H35" s="54" t="n">
        <x:v>646.5625262742385</x:v>
      </x:c>
      <x:c r="I35" s="54" t="n">
        <x:v>0.00012233913470953293</x:v>
      </x:c>
      <x:c r="J35" s="54"/>
      <x:c r="K35" s="54" t="n">
        <x:v>0.000013837085000000002</x:v>
      </x:c>
      <x:c r="L35" s="41" t="str">
        <x:v>Evaluate phase applicability</x:v>
      </x:c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39" t="str">
        <x:v>Pyridine</x:v>
      </x:c>
      <x:c r="B36" s="39" t="str">
        <x:v>110-86-1</x:v>
      </x:c>
      <x:c r="C36" s="54" t="n">
        <x:v>600</x:v>
      </x:c>
      <x:c r="D36" s="54" t="n">
        <x:v>4483646.624831647</x:v>
      </x:c>
      <x:c r="E36" s="54" t="n">
        <x:v>13607.040091233606</x:v>
      </x:c>
      <x:c r="F36" s="54" t="n">
        <x:v>235.57341889425948</x:v>
      </x:c>
      <x:c r="G36" s="54" t="n">
        <x:v>148.18178628051447</x:v>
      </x:c>
      <x:c r="H36" s="54" t="n">
        <x:v>516.4626443712448</x:v>
      </x:c>
      <x:c r="I36" s="54" t="n">
        <x:v>0.000153157059590047</x:v>
      </x:c>
      <x:c r="J36" s="54"/>
      <x:c r="K36" s="54" t="n">
        <x:v>0.000015098040000000001</x:v>
      </x:c>
      <x:c r="L36" s="41" t="str">
        <x:v>Evaluate phase applicability</x:v>
      </x:c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39" t="str">
        <x:v>Propylene oxide</x:v>
      </x:c>
      <x:c r="B37" s="39" t="str">
        <x:v>75-56-9</x:v>
      </x:c>
      <x:c r="C37" s="54" t="n">
        <x:v>250</x:v>
      </x:c>
      <x:c r="D37" s="54" t="n">
        <x:v>7090.316956827367</x:v>
      </x:c>
      <x:c r="E37" s="54" t="n">
        <x:v>30585.66242297592</x:v>
      </x:c>
      <x:c r="F37" s="54" t="n">
        <x:v>112.68458991518085</x:v>
      </x:c>
      <x:c r="G37" s="54" t="n">
        <x:v>63.80214961581441</x:v>
      </x:c>
      <x:c r="H37" s="54" t="n">
        <x:v>882.3891651102192</x:v>
      </x:c>
      <x:c r="I37" s="54" t="n">
        <x:v>0.0000658203231595045</x:v>
      </x:c>
      <x:c r="J37" s="54" t="n">
        <x:v>0.0005486189329293503</x:v>
      </x:c>
      <x:c r="K37" s="54" t="n">
        <x:v>0.000007006092816442085</x:v>
      </x:c>
      <x:c r="L37" s="41" t="str">
        <x:v>Evaluate phase applicability</x:v>
      </x:c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39" t="str">
        <x:v>Propylene oxide</x:v>
      </x:c>
      <x:c r="B38" s="39" t="str">
        <x:v>75-56-9</x:v>
      </x:c>
      <x:c r="C38" s="54" t="n">
        <x:v>273.15</x:v>
      </x:c>
      <x:c r="D38" s="54" t="n">
        <x:v>24344.953627600138</x:v>
      </x:c>
      <x:c r="E38" s="54" t="n">
        <x:v>29407.095505607216</x:v>
      </x:c>
      <x:c r="F38" s="54" t="n">
        <x:v>115.96493093074858</x:v>
      </x:c>
      <x:c r="G38" s="54" t="n">
        <x:v>68.13584712253393</x:v>
      </x:c>
      <x:c r="H38" s="54" t="n">
        <x:v>854.7205163223158</x:v>
      </x:c>
      <x:c r="I38" s="54" t="n">
        <x:v>0.00006795103064789229</x:v>
      </x:c>
      <x:c r="J38" s="54" t="n">
        <x:v>0.00040841518380794757</x:v>
      </x:c>
      <x:c r="K38" s="54" t="n">
        <x:v>0.000007662925244284858</x:v>
      </x:c>
      <x:c r="L38" s="41" t="str">
        <x:v>Evaluate phase applicability</x:v>
      </x:c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39" t="str">
        <x:v>Propylene oxide</x:v>
      </x:c>
      <x:c r="B39" s="39" t="str">
        <x:v>75-56-9</x:v>
      </x:c>
      <x:c r="C39" s="54" t="n">
        <x:v>298.15</x:v>
      </x:c>
      <x:c r="D39" s="54" t="n">
        <x:v>71852.4993098591</x:v>
      </x:c>
      <x:c r="E39" s="54" t="n">
        <x:v>28091.37069005016</x:v>
      </x:c>
      <x:c r="F39" s="54" t="n">
        <x:v>120.46867211067689</x:v>
      </x:c>
      <x:c r="G39" s="54" t="n">
        <x:v>73.01935431504843</x:v>
      </x:c>
      <x:c r="H39" s="54" t="n">
        <x:v>823.8040156353779</x:v>
      </x:c>
      <x:c r="I39" s="54" t="n">
        <x:v>0.00007050116155989495</x:v>
      </x:c>
      <x:c r="J39" s="54" t="n">
        <x:v>0.00030903691789730076</x:v>
      </x:c>
      <x:c r="K39" s="54" t="n">
        <x:v>0.000008368827950893797</x:v>
      </x:c>
      <x:c r="L39" s="41" t="str">
        <x:v>Evaluate phase applicability</x:v>
      </x:c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39" t="str">
        <x:v>Propylene oxide</x:v>
      </x:c>
      <x:c r="B40" s="39" t="str">
        <x:v>75-56-9</x:v>
      </x:c>
      <x:c r="C40" s="54" t="n">
        <x:v>323.15</x:v>
      </x:c>
      <x:c r="D40" s="54" t="n">
        <x:v>174763.15528921926</x:v>
      </x:c>
      <x:c r="E40" s="54" t="n">
        <x:v>26684.657574069435</x:v>
      </x:c>
      <x:c r="F40" s="54" t="n">
        <x:v>125.88223908188476</x:v>
      </x:c>
      <x:c r="G40" s="54" t="n">
        <x:v>78.00743758110933</x:v>
      </x:c>
      <x:c r="H40" s="54" t="n">
        <x:v>791.3823266490662</x:v>
      </x:c>
      <x:c r="I40" s="54" t="n">
        <x:v>0.00007338948324247182</x:v>
      </x:c>
      <x:c r="J40" s="54" t="n">
        <x:v>0.00023968032251565642</x:v>
      </x:c>
      <x:c r="K40" s="54" t="n">
        <x:v>0.000009100490365573614</x:v>
      </x:c>
      <x:c r="L40" s="41" t="str">
        <x:v>Evaluate phase applicability</x:v>
      </x:c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39" t="str">
        <x:v>Propylene oxide</x:v>
      </x:c>
      <x:c r="B41" s="39" t="str">
        <x:v>75-56-9</x:v>
      </x:c>
      <x:c r="C41" s="54" t="n">
        <x:v>350</x:v>
      </x:c>
      <x:c r="D41" s="54" t="n">
        <x:v>386343.3050575952</x:v>
      </x:c>
      <x:c r="E41" s="54" t="n">
        <x:v>25013.428697153802</x:v>
      </x:c>
      <x:c r="F41" s="54" t="n">
        <x:v>132.74482404600138</x:v>
      </x:c>
      <x:c r="G41" s="54" t="n">
        <x:v>83.37197216468353</x:v>
      </x:c>
      <x:c r="H41" s="54" t="n">
        <x:v>754.2449286535369</x:v>
      </x:c>
      <x:c r="I41" s="54" t="n">
        <x:v>0.00007700302354525833</x:v>
      </x:c>
      <x:c r="J41" s="54" t="n">
        <x:v>0.00018643405404156367</x:v>
      </x:c>
      <x:c r="K41" s="54" t="n">
        <x:v>0.000009897153491884615</x:v>
      </x:c>
      <x:c r="L41" s="41" t="str">
        <x:v>Evaluate phase applicability</x:v>
      </x:c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39" t="str">
        <x:v>Propylene oxide</x:v>
      </x:c>
      <x:c r="B42" s="39" t="str">
        <x:v>75-56-9</x:v>
      </x:c>
      <x:c r="C42" s="54" t="n">
        <x:v>373.15</x:v>
      </x:c>
      <x:c r="D42" s="54" t="n">
        <x:v>690985.3382531197</x:v>
      </x:c>
      <x:c r="E42" s="54" t="n">
        <x:v>23381.76110048107</x:v>
      </x:c>
      <x:c r="F42" s="54" t="n">
        <x:v>139.76403239854713</x:v>
      </x:c>
      <x:c r="G42" s="54" t="n">
        <x:v>87.93579351756213</x:v>
      </x:c>
      <x:c r="H42" s="54" t="n">
        <x:v>719.561206507029</x:v>
      </x:c>
      <x:c r="I42" s="54" t="n">
        <x:v>0.00008071466259546421</x:v>
      </x:c>
      <x:c r="J42" s="54" t="n">
        <x:v>0.000151716318602045</x:v>
      </x:c>
      <x:c r="K42" s="54" t="n">
        <x:v>0.000010577855164869826</x:v>
      </x:c>
      <x:c r="L42" s="41" t="str">
        <x:v>Evaluate phase applicability</x:v>
      </x:c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39" t="str">
        <x:v>Propylene oxide</x:v>
      </x:c>
      <x:c r="B43" s="39" t="str">
        <x:v>75-56-9</x:v>
      </x:c>
      <x:c r="C43" s="54" t="n">
        <x:v>400</x:v>
      </x:c>
      <x:c r="D43" s="54" t="n">
        <x:v>1237485.664418581</x:v>
      </x:c>
      <x:c r="E43" s="54" t="n">
        <x:v>21173.219325096736</x:v>
      </x:c>
      <x:c r="F43" s="54" t="n">
        <x:v>149.94993054526054</x:v>
      </x:c>
      <x:c r="G43" s="54" t="n">
        <x:v>93.10324284582985</x:v>
      </x:c>
      <x:c r="H43" s="54" t="n">
        <x:v>674.968195320919</x:v>
      </x:c>
      <x:c r="I43" s="54" t="n">
        <x:v>0.00008604722474721319</x:v>
      </x:c>
      <x:c r="J43" s="54" t="n">
        <x:v>0.00011984919040905434</x:v>
      </x:c>
      <x:c r="K43" s="54" t="n">
        <x:v>0.000011359089591792709</x:v>
      </x:c>
      <x:c r="L43" s="41" t="str">
        <x:v>Evaluate phase applicability</x:v>
      </x:c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39" t="str">
        <x:v>Propylene oxide</x:v>
      </x:c>
      <x:c r="B44" s="39" t="str">
        <x:v>75-56-9</x:v>
      </x:c>
      <x:c r="C44" s="54" t="n">
        <x:v>450</x:v>
      </x:c>
      <x:c r="D44" s="54" t="n">
        <x:v>3032493.8085168693</x:v>
      </x:c>
      <x:c r="E44" s="54" t="n">
        <x:v>15398.383324827204</x:v>
      </x:c>
      <x:c r="F44" s="54" t="n">
        <x:v>185.74282067306848</x:v>
      </x:c>
      <x:c r="G44" s="54" t="n">
        <x:v>102.2581703970381</x:v>
      </x:c>
      <x:c r="H44" s="54" t="n">
        <x:v>595.38777493276</x:v>
      </x:c>
      <x:c r="I44" s="54" t="n">
        <x:v>0.00009754842548884912</x:v>
      </x:c>
      <x:c r="J44" s="54" t="n">
        <x:v>0.00007500745125683556</x:v>
      </x:c>
      <x:c r="K44" s="54" t="n">
        <x:v>0.000012788948517322425</x:v>
      </x:c>
      <x:c r="L44" s="41" t="str">
        <x:v>Evaluate phase applicability</x:v>
      </x:c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39" t="str">
        <x:v>Propylene oxide</x:v>
      </x:c>
      <x:c r="B45" s="39" t="str">
        <x:v>75-56-9</x:v>
      </x:c>
      <x:c r="C45" s="54" t="n">
        <x:v>500</x:v>
      </x:c>
      <x:c r="D45" s="54" t="n">
        <x:v>6623331.528272825</x:v>
      </x:c>
      <x:c r="E45" s="54" t="n">
        <x:v>0</x:v>
      </x:c>
      <x:c r="F45" s="54" t="n">
        <x:v>235.4514277204019</x:v>
      </x:c>
      <x:c r="G45" s="54" t="n">
        <x:v>110.76177238895018</x:v>
      </x:c>
      <x:c r="H45" s="54" t="n">
        <x:v>595.38777493276</x:v>
      </x:c>
      <x:c r="I45" s="54" t="n">
        <x:v>0.00009754842548884912</x:v>
      </x:c>
      <x:c r="J45" s="54" t="n">
        <x:v>0.00001</x:v>
      </x:c>
      <x:c r="K45" s="54" t="n">
        <x:v>0.000014188799798378693</x:v>
      </x:c>
      <x:c r="L45" s="41" t="str">
        <x:v>Above critical temperature</x:v>
      </x:c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 t="str">
        <x:v>Propylene oxide</x:v>
      </x:c>
      <x:c r="B46" s="39" t="str">
        <x:v>75-56-9</x:v>
      </x:c>
      <x:c r="C46" s="54" t="n">
        <x:v>550</x:v>
      </x:c>
      <x:c r="D46" s="54" t="n">
        <x:v>19383305.39865228</x:v>
      </x:c>
      <x:c r="E46" s="54" t="n">
        <x:v>0</x:v>
      </x:c>
      <x:c r="F46" s="54" t="n">
        <x:v>285.16003476773534</x:v>
      </x:c>
      <x:c r="G46" s="54" t="n">
        <x:v>119.06155012703546</x:v>
      </x:c>
      <x:c r="H46" s="54" t="n">
        <x:v>595.38777493276</x:v>
      </x:c>
      <x:c r="I46" s="54" t="n">
        <x:v>0.00009754842548884912</x:v>
      </x:c>
      <x:c r="J46" s="54" t="n">
        <x:v>0.00001</x:v>
      </x:c>
      <x:c r="K46" s="54" t="n">
        <x:v>0.000015603858171491896</x:v>
      </x:c>
      <x:c r="L46" s="41" t="str">
        <x:v>Above critical temperature</x:v>
      </x:c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 t="str">
        <x:v>Propylene oxide</x:v>
      </x:c>
      <x:c r="B47" s="39" t="str">
        <x:v>75-56-9</x:v>
      </x:c>
      <x:c r="C47" s="54" t="n">
        <x:v>600</x:v>
      </x:c>
      <x:c r="D47" s="54" t="n">
        <x:v>75554284.96919996</x:v>
      </x:c>
      <x:c r="E47" s="54" t="n">
        <x:v>0</x:v>
      </x:c>
      <x:c r="F47" s="54" t="n">
        <x:v>334.8686418150688</x:v>
      </x:c>
      <x:c r="G47" s="54" t="n">
        <x:v>127.36132786512074</x:v>
      </x:c>
      <x:c r="H47" s="54" t="n">
        <x:v>595.38777493276</x:v>
      </x:c>
      <x:c r="I47" s="54" t="n">
        <x:v>0.00009754842548884912</x:v>
      </x:c>
      <x:c r="J47" s="54" t="n">
        <x:v>0.00001</x:v>
      </x:c>
      <x:c r="K47" s="54" t="n">
        <x:v>0.000017018916544605096</x:v>
      </x:c>
      <x:c r="L47" s="41" t="str">
        <x:v>Above critical temperature</x:v>
      </x:c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 t="str">
        <x:v>Lactic acid</x:v>
      </x:c>
      <x:c r="B48" s="39" t="str">
        <x:v>50-21-5</x:v>
      </x:c>
      <x:c r="C48" s="54" t="n">
        <x:v>250</x:v>
      </x:c>
      <x:c r="D48" s="54" t="n">
        <x:v>0.00028099182490967444</x:v>
      </x:c>
      <x:c r="E48" s="54" t="n">
        <x:v>99813.16201787663</x:v>
      </x:c>
      <x:c r="F48" s="54" t="n">
        <x:v>120.84766935743642</x:v>
      </x:c>
      <x:c r="G48" s="54" t="n">
        <x:v>90.07724674815873</x:v>
      </x:c>
      <x:c r="H48" s="54" t="n">
        <x:v>1143.0516074297511</x:v>
      </x:c>
      <x:c r="I48" s="54" t="n">
        <x:v>0.00007880478835294927</x:v>
      </x:c>
      <x:c r="J48" s="54" t="n">
        <x:v>0.0013329630807076627</x:v>
      </x:c>
      <x:c r="K48" s="54" t="n">
        <x:v>0.000003914784097277143</x:v>
      </x:c>
      <x:c r="L48" s="41" t="str">
        <x:v>Below melting point</x:v>
      </x:c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 t="str">
        <x:v>Lactic acid</x:v>
      </x:c>
      <x:c r="B49" s="39" t="str">
        <x:v>50-21-5</x:v>
      </x:c>
      <x:c r="C49" s="54" t="n">
        <x:v>273.15</x:v>
      </x:c>
      <x:c r="D49" s="54" t="n">
        <x:v>0.01408095712711237</x:v>
      </x:c>
      <x:c r="E49" s="54" t="n">
        <x:v>94673.89167620298</x:v>
      </x:c>
      <x:c r="F49" s="54" t="n">
        <x:v>129.88934152394225</x:v>
      </x:c>
      <x:c r="G49" s="54" t="n">
        <x:v>95.57809762312192</x:v>
      </x:c>
      <x:c r="H49" s="54" t="n">
        <x:v>1122.2212895733849</x:v>
      </x:c>
      <x:c r="I49" s="54" t="n">
        <x:v>0.00008026753799533008</x:v>
      </x:c>
      <x:c r="J49" s="54" t="n">
        <x:v>0.0012215360208650981</x:v>
      </x:c>
      <x:c r="K49" s="54" t="n">
        <x:v>0.0000050683168873956535</x:v>
      </x:c>
      <x:c r="L49" s="41" t="str">
        <x:v>Below melting point</x:v>
      </x:c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 t="str">
        <x:v>Lactic acid</x:v>
      </x:c>
      <x:c r="B50" s="39" t="str">
        <x:v>50-21-5</x:v>
      </x:c>
      <x:c r="C50" s="54" t="n">
        <x:v>298.15</x:v>
      </x:c>
      <x:c r="D50" s="54" t="n">
        <x:v>0.42214021514470007</x:v>
      </x:c>
      <x:c r="E50" s="54" t="n">
        <x:v>89609.45380017642</x:v>
      </x:c>
      <x:c r="F50" s="54" t="n">
        <x:v>139.03937581184496</x:v>
      </x:c>
      <x:c r="G50" s="54" t="n">
        <x:v>101.51854133258541</x:v>
      </x:c>
      <x:c r="H50" s="54" t="n">
        <x:v>1099.194959201353</x:v>
      </x:c>
      <x:c r="I50" s="54" t="n">
        <x:v>0.00008194901117946204</x:v>
      </x:c>
      <x:c r="J50" s="54" t="n">
        <x:v>0.0011066142062558962</x:v>
      </x:c>
      <x:c r="K50" s="54" t="n">
        <x:v>0.000006186611868363408</x:v>
      </x:c>
      <x:c r="L50" s="41" t="str">
        <x:v>Evaluate phase applicability</x:v>
      </x:c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 t="str">
        <x:v>Lactic acid</x:v>
      </x:c>
      <x:c r="B51" s="39" t="str">
        <x:v>50-21-5</x:v>
      </x:c>
      <x:c r="C51" s="54" t="n">
        <x:v>323.15</x:v>
      </x:c>
      <x:c r="D51" s="54" t="n">
        <x:v>6.607319569472816</x:v>
      </x:c>
      <x:c r="E51" s="54" t="n">
        <x:v>84993.66775618047</x:v>
      </x:c>
      <x:c r="F51" s="54" t="n">
        <x:v>147.5516214040682</x:v>
      </x:c>
      <x:c r="G51" s="54" t="n">
        <x:v>107.45898504204892</x:v>
      </x:c>
      <x:c r="H51" s="54" t="n">
        <x:v>1075.5573937210281</x:v>
      </x:c>
      <x:c r="I51" s="54" t="n">
        <x:v>0.0000837500076944884</x:v>
      </x:c>
      <x:c r="J51" s="54" t="n">
        <x:v>0.0009973100276725719</x:v>
      </x:c>
      <x:c r="K51" s="54" t="n">
        <x:v>0.000007201455561733931</x:v>
      </x:c>
      <x:c r="L51" s="41" t="str">
        <x:v>Evaluate phase applicability</x:v>
      </x:c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 t="str">
        <x:v>Lactic acid</x:v>
      </x:c>
      <x:c r="B52" s="39" t="str">
        <x:v>50-21-5</x:v>
      </x:c>
      <x:c r="C52" s="54" t="n">
        <x:v>350</x:v>
      </x:c>
      <x:c r="D52" s="54" t="n">
        <x:v>73.06262428617556</x:v>
      </x:c>
      <x:c r="E52" s="54" t="n">
        <x:v>80468.0080211605</x:v>
      </x:c>
      <x:c r="F52" s="54" t="n">
        <x:v>155.98344366376716</x:v>
      </x:c>
      <x:c r="G52" s="54" t="n">
        <x:v>113.76567500000002</x:v>
      </x:c>
      <x:c r="H52" s="54" t="n">
        <x:v>1049.4070954739411</x:v>
      </x:c>
      <x:c r="I52" s="54" t="n">
        <x:v>0.0000858369839393151</x:v>
      </x:c>
      <x:c r="J52" s="54" t="n">
        <x:v>0.0008861739145862705</x:v>
      </x:c>
      <x:c r="K52" s="54" t="n">
        <x:v>0.000008200733001597358</x:v>
      </x:c>
      <x:c r="L52" s="41" t="str">
        <x:v>Evaluate phase applicability</x:v>
      </x:c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 t="str">
        <x:v>Lactic acid</x:v>
      </x:c>
      <x:c r="B53" s="39" t="str">
        <x:v>50-21-5</x:v>
      </x:c>
      <x:c r="C53" s="54" t="n">
        <x:v>373.15</x:v>
      </x:c>
      <x:c r="D53" s="54" t="n">
        <x:v>406.23048365365213</x:v>
      </x:c>
      <x:c r="E53" s="54" t="n">
        <x:v>76866.77122417219</x:v>
      </x:c>
      <x:c r="F53" s="54" t="n">
        <x:v>162.66274650147594</x:v>
      </x:c>
      <x:c r="G53" s="54" t="n">
        <x:v>119.0013063982681</x:v>
      </x:c>
      <x:c r="H53" s="54" t="n">
        <x:v>1026.144581885404</x:v>
      </x:c>
      <x:c r="I53" s="54" t="n">
        <x:v>0.00008778289296669459</x:v>
      </x:c>
      <x:c r="J53" s="54" t="n">
        <x:v>0.0007955545785835567</x:v>
      </x:c>
      <x:c r="K53" s="54" t="n">
        <x:v>0.000009001705872790173</x:v>
      </x:c>
      <x:c r="L53" s="41" t="str">
        <x:v>Evaluate phase applicability</x:v>
      </x:c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 t="str">
        <x:v>Lactic acid</x:v>
      </x:c>
      <x:c r="B54" s="39" t="str">
        <x:v>50-21-5</x:v>
      </x:c>
      <x:c r="C54" s="54" t="n">
        <x:v>400</x:v>
      </x:c>
      <x:c r="D54" s="54" t="n">
        <x:v>2148.6432191700073</x:v>
      </x:c>
      <x:c r="E54" s="54" t="n">
        <x:v>72965.17676273512</x:v>
      </x:c>
      <x:c r="F54" s="54" t="n">
        <x:v>169.72459864285526</x:v>
      </x:c>
      <x:c r="G54" s="54" t="n">
        <x:v>124.83720000000002</x:v>
      </x:c>
      <x:c r="H54" s="54" t="n">
        <x:v>998.2157792986862</x:v>
      </x:c>
      <x:c r="I54" s="54" t="n">
        <x:v>0.0000902389461958674</x:v>
      </x:c>
      <x:c r="J54" s="54" t="n">
        <x:v>0.0006964851476808409</x:v>
      </x:c>
      <x:c r="K54" s="54" t="n">
        <x:v>0.000009873638144846177</x:v>
      </x:c>
      <x:c r="L54" s="41" t="str">
        <x:v>Evaluate phase applicability</x:v>
      </x:c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 t="str">
        <x:v>Lactic acid</x:v>
      </x:c>
      <x:c r="B55" s="39" t="str">
        <x:v>50-21-5</x:v>
      </x:c>
      <x:c r="C55" s="54" t="n">
        <x:v>450</x:v>
      </x:c>
      <x:c r="D55" s="54" t="n">
        <x:v>23908.413442961963</x:v>
      </x:c>
      <x:c r="E55" s="54" t="n">
        <x:v>66184.74913770602</x:v>
      </x:c>
      <x:c r="F55" s="54" t="n">
        <x:v>180.91459883922514</x:v>
      </x:c>
      <x:c r="G55" s="54" t="n">
        <x:v>135.051525</x:v>
      </x:c>
      <x:c r="H55" s="54" t="n">
        <x:v>942.9058984232742</x:v>
      </x:c>
      <x:c r="I55" s="54" t="n">
        <x:v>0.00009553226907438822</x:v>
      </x:c>
      <x:c r="J55" s="54" t="n">
        <x:v>0.0005292669248789215</x:v>
      </x:c>
      <x:c r="K55" s="54" t="n">
        <x:v>0.000011369753674951257</x:v>
      </x:c>
      <x:c r="L55" s="41" t="str">
        <x:v>Evaluate phase applicability</x:v>
      </x:c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 t="str">
        <x:v>Lactic acid</x:v>
      </x:c>
      <x:c r="B56" s="39" t="str">
        <x:v>50-21-5</x:v>
      </x:c>
      <x:c r="C56" s="54" t="n">
        <x:v>500</x:v>
      </x:c>
      <x:c r="D56" s="54" t="n">
        <x:v>141187.02547516336</x:v>
      </x:c>
      <x:c r="E56" s="54" t="n">
        <x:v>59452.579546148205</x:v>
      </x:c>
      <x:c r="F56" s="54" t="n">
        <x:v>189.55344425287694</x:v>
      </x:c>
      <x:c r="G56" s="54" t="n">
        <x:v>144.455</x:v>
      </x:c>
      <x:c r="H56" s="54" t="n">
        <x:v>881.8625422201965</x:v>
      </x:c>
      <x:c r="I56" s="54" t="n">
        <x:v>0.00010214510276535592</x:v>
      </x:c>
      <x:c r="J56" s="54" t="n">
        <x:v>0.00038451924618051325</x:v>
      </x:c>
      <x:c r="K56" s="54" t="n">
        <x:v>0.00001274144213624036</x:v>
      </x:c>
      <x:c r="L56" s="41" t="str">
        <x:v>Evaluate phase applicability</x:v>
      </x:c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 t="str">
        <x:v>Lactic acid</x:v>
      </x:c>
      <x:c r="B57" s="39" t="str">
        <x:v>50-21-5</x:v>
      </x:c>
      <x:c r="C57" s="54" t="n">
        <x:v>550</x:v>
      </x:c>
      <x:c r="D57" s="54" t="n">
        <x:v>546524.5657747444</x:v>
      </x:c>
      <x:c r="E57" s="54" t="n">
        <x:v>51875.01912887936</x:v>
      </x:c>
      <x:c r="F57" s="54" t="n">
        <x:v>195.64113488381054</x:v>
      </x:c>
      <x:c r="G57" s="54" t="n">
        <x:v>153.09397500000003</x:v>
      </x:c>
      <x:c r="H57" s="54" t="n">
        <x:v>812.1051217447715</x:v>
      </x:c>
      <x:c r="I57" s="54" t="n">
        <x:v>0.00011091906403258678</x:v>
      </x:c>
      <x:c r="J57" s="54" t="n">
        <x:v>0.00026224211158561546</x:v>
      </x:c>
      <x:c r="K57" s="54" t="n">
        <x:v>0.000014022318240177844</x:v>
      </x:c>
      <x:c r="L57" s="41" t="str">
        <x:v>Evaluate phase applicability</x:v>
      </x:c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 t="str">
        <x:v>Lactic acid</x:v>
      </x:c>
      <x:c r="B58" s="39" t="str">
        <x:v>50-21-5</x:v>
      </x:c>
      <x:c r="C58" s="54" t="n">
        <x:v>600</x:v>
      </x:c>
      <x:c r="D58" s="54" t="n">
        <x:v>1596796.9974782628</x:v>
      </x:c>
      <x:c r="E58" s="54" t="n">
        <x:v>42030.429657207475</x:v>
      </x:c>
      <x:c r="F58" s="54" t="n">
        <x:v>199.177670732026</x:v>
      </x:c>
      <x:c r="G58" s="54" t="n">
        <x:v>161.0148</x:v>
      </x:c>
      <x:c r="H58" s="54" t="n">
        <x:v>726.85648312839</x:v>
      </x:c>
      <x:c r="I58" s="54" t="n">
        <x:v>0.0001239280959733682</x:v>
      </x:c>
      <x:c r="J58" s="54" t="n">
        <x:v>0.00016243552109422902</x:v>
      </x:c>
      <x:c r="K58" s="54" t="n">
        <x:v>0.000015234923949720078</x:v>
      </x:c>
      <x:c r="L58" s="41" t="str">
        <x:v>Evaluate phase applicability</x:v>
      </x:c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 t="str">
        <x:v>Acetophenone</x:v>
      </x:c>
      <x:c r="B59" s="39" t="str">
        <x:v>98-86-2</x:v>
      </x:c>
      <x:c r="C59" s="54" t="n">
        <x:v>250</x:v>
      </x:c>
      <x:c r="D59" s="54" t="n">
        <x:v>0.6586266977878902</x:v>
      </x:c>
      <x:c r="E59" s="54" t="n">
        <x:v>56774.20012978424</x:v>
      </x:c>
      <x:c r="F59" s="54" t="n">
        <x:v>189.01580626338523</x:v>
      </x:c>
      <x:c r="G59" s="54" t="n">
        <x:v>108.38959068271036</x:v>
      </x:c>
      <x:c r="H59" s="54" t="n">
        <x:v>1062.6410128909956</x:v>
      </x:c>
      <x:c r="I59" s="54" t="n">
        <x:v>0.00011306595411100012</x:v>
      </x:c>
      <x:c r="J59" s="54"/>
      <x:c r="K59" s="54" t="n">
        <x:v>0.000005382675000000001</x:v>
      </x:c>
      <x:c r="L59" s="41" t="str">
        <x:v>Below melting point</x:v>
      </x:c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 t="str">
        <x:v>Acetophenone</x:v>
      </x:c>
      <x:c r="B60" s="39" t="str">
        <x:v>98-86-2</x:v>
      </x:c>
      <x:c r="C60" s="54" t="n">
        <x:v>273.15</x:v>
      </x:c>
      <x:c r="D60" s="54" t="n">
        <x:v>6.3746890578772115</x:v>
      </x:c>
      <x:c r="E60" s="54" t="n">
        <x:v>55470.55338287261</x:v>
      </x:c>
      <x:c r="F60" s="54" t="n">
        <x:v>196.63316567987366</x:v>
      </x:c>
      <x:c r="G60" s="54" t="n">
        <x:v>118.92750008813869</x:v>
      </x:c>
      <x:c r="H60" s="54" t="n">
        <x:v>1043.9019452011648</x:v>
      </x:c>
      <x:c r="I60" s="54" t="n">
        <x:v>0.00011509559930635709</x:v>
      </x:c>
      <x:c r="J60" s="54"/>
      <x:c r="K60" s="54" t="n">
        <x:v>0.000005923187776915001</x:v>
      </x:c>
      <x:c r="L60" s="41" t="str">
        <x:v>Below melting point</x:v>
      </x:c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 t="str">
        <x:v>Acetophenone</x:v>
      </x:c>
      <x:c r="B61" s="39" t="str">
        <x:v>98-86-2</x:v>
      </x:c>
      <x:c r="C61" s="54" t="n">
        <x:v>298.15</x:v>
      </x:c>
      <x:c r="D61" s="54" t="n">
        <x:v>49.715321159530596</x:v>
      </x:c>
      <x:c r="E61" s="54" t="n">
        <x:v>54114.415028999596</x:v>
      </x:c>
      <x:c r="F61" s="54" t="n">
        <x:v>204.8592557624746</x:v>
      </x:c>
      <x:c r="G61" s="54" t="n">
        <x:v>129.91132523808992</x:v>
      </x:c>
      <x:c r="H61" s="54" t="n">
        <x:v>1023.218221118722</x:v>
      </x:c>
      <x:c r="I61" s="54" t="n">
        <x:v>0.00011742218572753445</x:v>
      </x:c>
      <x:c r="J61" s="54" t="n">
        <x:v>0.0016453557393504119</x:v>
      </x:c>
      <x:c r="K61" s="54" t="n">
        <x:v>0.000006504985731915001</x:v>
      </x:c>
      <x:c r="L61" s="41" t="str">
        <x:v>Evaluate phase applicability</x:v>
      </x:c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 t="str">
        <x:v>Acetophenone</x:v>
      </x:c>
      <x:c r="B62" s="39" t="str">
        <x:v>98-86-2</x:v>
      </x:c>
      <x:c r="C62" s="54" t="n">
        <x:v>323.15</x:v>
      </x:c>
      <x:c r="D62" s="54" t="n">
        <x:v>271.25583784685176</x:v>
      </x:c>
      <x:c r="E62" s="54" t="n">
        <x:v>52790.715596673384</x:v>
      </x:c>
      <x:c r="F62" s="54" t="n">
        <x:v>212.9961377259106</x:v>
      </x:c>
      <x:c r="G62" s="54" t="n">
        <x:v>140.47759594679115</x:v>
      </x:c>
      <x:c r="H62" s="54" t="n">
        <x:v>1002.0283777907229</x:v>
      </x:c>
      <x:c r="I62" s="54" t="n">
        <x:v>0.00011990530673882116</x:v>
      </x:c>
      <x:c r="J62" s="54" t="n">
        <x:v>0.0010953870540272637</x:v>
      </x:c>
      <x:c r="K62" s="54" t="n">
        <x:v>0.000007084801186915002</x:v>
      </x:c>
      <x:c r="L62" s="41" t="str">
        <x:v>Evaluate phase applicability</x:v>
      </x:c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 t="str">
        <x:v>Acetophenone</x:v>
      </x:c>
      <x:c r="B63" s="39" t="str">
        <x:v>98-86-2</x:v>
      </x:c>
      <x:c r="C63" s="54" t="n">
        <x:v>350</x:v>
      </x:c>
      <x:c r="D63" s="54" t="n">
        <x:v>1216.834353053613</x:v>
      </x:c>
      <x:c r="E63" s="54" t="n">
        <x:v>51381.03801876563</x:v>
      </x:c>
      <x:c r="F63" s="54" t="n">
        <x:v>221.5898594530085</x:v>
      </x:c>
      <x:c r="G63" s="54" t="n">
        <x:v>151.37147249999995</x:v>
      </x:c>
      <x:c r="H63" s="54" t="n">
        <x:v>978.6494156189474</x:v>
      </x:c>
      <x:c r="I63" s="54" t="n">
        <x:v>0.00012276972538118974</x:v>
      </x:c>
      <x:c r="J63" s="54" t="n">
        <x:v>0.0007836066500137756</x:v>
      </x:c>
      <x:c r="K63" s="54" t="n">
        <x:v>0.000007705315</x:v>
      </x:c>
      <x:c r="L63" s="41" t="str">
        <x:v>Evaluate phase applicability</x:v>
      </x:c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 t="str">
        <x:v>Acetophenone</x:v>
      </x:c>
      <x:c r="B64" s="39" t="str">
        <x:v>98-86-2</x:v>
      </x:c>
      <x:c r="C64" s="54" t="n">
        <x:v>373.15</x:v>
      </x:c>
      <x:c r="D64" s="54" t="n">
        <x:v>3608.4050227877296</x:v>
      </x:c>
      <x:c r="E64" s="54" t="n">
        <x:v>50156.01197580806</x:v>
      </x:c>
      <x:c r="F64" s="54" t="n">
        <x:v>228.94388070472618</x:v>
      </x:c>
      <x:c r="G64" s="54" t="n">
        <x:v>160.39514654044368</x:v>
      </x:c>
      <x:c r="H64" s="54" t="n">
        <x:v>957.9205469832822</x:v>
      </x:c>
      <x:c r="I64" s="54" t="n">
        <x:v>0.00012542639405572418</x:v>
      </x:c>
      <x:c r="J64" s="54" t="n">
        <x:v>0.0006205622228535096</x:v>
      </x:c>
      <x:c r="K64" s="54" t="n">
        <x:v>0.000008238484596915001</x:v>
      </x:c>
      <x:c r="L64" s="41" t="str">
        <x:v>Evaluate phase applicability</x:v>
      </x:c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 t="str">
        <x:v>Acetophenone</x:v>
      </x:c>
      <x:c r="B65" s="39" t="str">
        <x:v>98-86-2</x:v>
      </x:c>
      <x:c r="C65" s="54" t="n">
        <x:v>400</x:v>
      </x:c>
      <x:c r="D65" s="54" t="n">
        <x:v>10550.13267507923</x:v>
      </x:c>
      <x:c r="E65" s="54" t="n">
        <x:v>48700.08168216199</x:v>
      </x:c>
      <x:c r="F65" s="54" t="n">
        <x:v>237.48659440361948</x:v>
      </x:c>
      <x:c r="G65" s="54" t="n">
        <x:v>170.44343999999995</x:v>
      </x:c>
      <x:c r="H65" s="54" t="n">
        <x:v>933.1366480549254</x:v>
      </x:c>
      <x:c r="I65" s="54" t="n">
        <x:v>0.00012875769079527988</x:v>
      </x:c>
      <x:c r="J65" s="54" t="n">
        <x:v>0.0004939626449339979</x:v>
      </x:c>
      <x:c r="K65" s="54" t="n">
        <x:v>0.000008854740000000001</x:v>
      </x:c>
      <x:c r="L65" s="41" t="str">
        <x:v>Evaluate phase applicability</x:v>
      </x:c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 t="str">
        <x:v>Acetophenone</x:v>
      </x:c>
      <x:c r="B66" s="39" t="str">
        <x:v>98-86-2</x:v>
      </x:c>
      <x:c r="C66" s="54" t="n">
        <x:v>450</x:v>
      </x:c>
      <x:c r="D66" s="54" t="n">
        <x:v>52081.45671983497</x:v>
      </x:c>
      <x:c r="E66" s="54" t="n">
        <x:v>45790.34101191056</x:v>
      </x:c>
      <x:c r="F66" s="54" t="n">
        <x:v>253.72212707699504</x:v>
      </x:c>
      <x:c r="G66" s="54" t="n">
        <x:v>187.99866749999995</x:v>
      </x:c>
      <x:c r="H66" s="54" t="n">
        <x:v>884.4790565526519</x:v>
      </x:c>
      <x:c r="I66" s="54" t="n">
        <x:v>0.0001358410005413709</x:v>
      </x:c>
      <x:c r="J66" s="54" t="n">
        <x:v>0.00034495567639027434</x:v>
      </x:c>
      <x:c r="K66" s="54" t="n">
        <x:v>0.000009996235000000002</x:v>
      </x:c>
      <x:c r="L66" s="41" t="str">
        <x:v>Evaluate phase applicability</x:v>
      </x:c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 t="str">
        <x:v>Acetophenone</x:v>
      </x:c>
      <x:c r="B67" s="39" t="str">
        <x:v>98-86-2</x:v>
      </x:c>
      <x:c r="C67" s="54" t="n">
        <x:v>500</x:v>
      </x:c>
      <x:c r="D67" s="54" t="n">
        <x:v>177633.1036268394</x:v>
      </x:c>
      <x:c r="E67" s="54" t="n">
        <x:v>42425.87453238861</x:v>
      </x:c>
      <x:c r="F67" s="54" t="n">
        <x:v>270.8609138685875</x:v>
      </x:c>
      <x:c r="G67" s="54" t="n">
        <x:v>204.11249999999998</x:v>
      </x:c>
      <x:c r="H67" s="54" t="n">
        <x:v>831.6689684233705</x:v>
      </x:c>
      <x:c r="I67" s="54" t="n">
        <x:v>0.00014446675848417255</x:v>
      </x:c>
      <x:c r="J67" s="54" t="n">
        <x:v>0.00023568865750125918</x:v>
      </x:c>
      <x:c r="K67" s="54" t="n">
        <x:v>0.000011129800000000001</x:v>
      </x:c>
      <x:c r="L67" s="41" t="str">
        <x:v>Evaluate phase applicability</x:v>
      </x:c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 t="str">
        <x:v>Acetophenone</x:v>
      </x:c>
      <x:c r="B68" s="39" t="str">
        <x:v>98-86-2</x:v>
      </x:c>
      <x:c r="C68" s="54" t="n">
        <x:v>550</x:v>
      </x:c>
      <x:c r="D68" s="54" t="n">
        <x:v>470212.23317109933</x:v>
      </x:c>
      <x:c r="E68" s="54" t="n">
        <x:v>38278.96753834772</x:v>
      </x:c>
      <x:c r="F68" s="54" t="n">
        <x:v>289.46741117384954</x:v>
      </x:c>
      <x:c r="G68" s="54" t="n">
        <x:v>218.86028249999998</x:v>
      </x:c>
      <x:c r="H68" s="54" t="n">
        <x:v>772.9947778408922</x:v>
      </x:c>
      <x:c r="I68" s="54" t="n">
        <x:v>0.0001554325118930241</x:v>
      </x:c>
      <x:c r="J68" s="54" t="n">
        <x:v>0.00008263436873298339</x:v>
      </x:c>
      <x:c r="K68" s="54" t="n">
        <x:v>0.000012255435000000002</x:v>
      </x:c>
      <x:c r="L68" s="41" t="str">
        <x:v>Evaluate phase applicability</x:v>
      </x:c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 t="str">
        <x:v>Acetophenone</x:v>
      </x:c>
      <x:c r="B69" s="39" t="str">
        <x:v>98-86-2</x:v>
      </x:c>
      <x:c r="C69" s="54" t="n">
        <x:v>600</x:v>
      </x:c>
      <x:c r="D69" s="54" t="n">
        <x:v>1038669.9291288812</x:v>
      </x:c>
      <x:c r="E69" s="54" t="n">
        <x:v>32783.78031634717</x:v>
      </x:c>
      <x:c r="F69" s="54" t="n">
        <x:v>310.1060753882336</x:v>
      </x:c>
      <x:c r="G69" s="54" t="n">
        <x:v>232.31735999999995</x:v>
      </x:c>
      <x:c r="H69" s="54" t="n">
        <x:v>705.0988334199793</x:v>
      </x:c>
      <x:c r="I69" s="54" t="n">
        <x:v>0.0001703995444400852</x:v>
      </x:c>
      <x:c r="J69" s="54" t="n">
        <x:v>0.00007202278990974652</x:v>
      </x:c>
      <x:c r="K69" s="54" t="n">
        <x:v>0.000013373140000000002</x:v>
      </x:c>
      <x:c r="L69" s="41" t="str">
        <x:v>Evaluate phase applicability</x:v>
      </x:c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M1"/>
  </x:mergeCells>
  <x:conditionalFormatting sqref="L4:L69">
    <x:cfRule type="expression" dxfId="5" priority="1">
      <x:formula>ISNUMBER(SEARCH("Below",L4))</x:formula>
    </x:cfRule>
    <x:cfRule type="expression" dxfId="6" priority="2">
      <x:formula>ISNUMBER(SEARCH("Above",L4))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28803b4a554c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2" hidden="0" customWidth="1"/>
    <x:col min="3" max="3" width="100" hidden="0" customWidth="1"/>
  </x:cols>
  <x:sheetData>
    <x:row r="1">
      <x:c r="A1" s="38" t="str">
        <x:v>Sources and provenance</x:v>
      </x:c>
      <x:c r="B1" s="38"/>
      <x:c r="C1" s="38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9"/>
      <x:c r="AT2" s="39"/>
      <x:c r="AU2" s="39"/>
      <x:c r="AV2" s="39"/>
      <x:c r="AW2" s="39"/>
      <x:c r="AX2" s="39"/>
      <x:c r="AY2" s="39"/>
      <x:c r="AZ2" s="39"/>
    </x:row>
    <x:row r="3">
      <x:c r="A3" s="40" t="str">
        <x:v>Source</x:v>
      </x:c>
      <x:c r="B3" s="40" t="str">
        <x:v>URL</x:v>
      </x:c>
      <x:c r="C3" s="40" t="str">
        <x:v>Use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9"/>
      <x:c r="AT3" s="39"/>
      <x:c r="AU3" s="39"/>
      <x:c r="AV3" s="39"/>
      <x:c r="AW3" s="39"/>
      <x:c r="AX3" s="39"/>
      <x:c r="AY3" s="39"/>
      <x:c r="AZ3" s="39"/>
    </x:row>
    <x:row r="4">
      <x:c r="A4" s="41" t="str">
        <x:v>NIST Chemistry WebBook</x:v>
      </x:c>
      <x:c r="B4" s="41" t="str">
        <x:v>https://webbook.nist.gov/</x:v>
      </x:c>
      <x:c r="C4" s="41" t="str">
        <x:v>Species pages and publicly visible compiled thermochemistry / phase-change / Antoine data where available.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9"/>
      <x:c r="AT4" s="39"/>
      <x:c r="AU4" s="39"/>
      <x:c r="AV4" s="39"/>
      <x:c r="AW4" s="39"/>
      <x:c r="AX4" s="39"/>
      <x:c r="AY4" s="39"/>
      <x:c r="AZ4" s="39"/>
    </x:row>
    <x:row r="5">
      <x:c r="A5" s="41" t="str">
        <x:v>thermo 0.6.0 documentation</x:v>
      </x:c>
      <x:c r="B5" s="41" t="str">
        <x:v>https://thermo.readthedocs.io/thermo.chemical.html</x:v>
      </x:c>
      <x:c r="C5" s="41" t="str">
        <x:v>Temperature-dependent property objects and selected correlation methods.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9"/>
      <x:c r="AT5" s="39"/>
      <x:c r="AU5" s="39"/>
      <x:c r="AV5" s="39"/>
      <x:c r="AW5" s="39"/>
      <x:c r="AX5" s="39"/>
      <x:c r="AY5" s="39"/>
      <x:c r="AZ5" s="39"/>
    </x:row>
    <x:row r="6">
      <x:c r="A6" s="41" t="str">
        <x:v>chemicals documentation</x:v>
      </x:c>
      <x:c r="B6" s="41" t="str">
        <x:v>https://chemicals.readthedocs.io/index.html</x:v>
      </x:c>
      <x:c r="C6" s="41" t="str">
        <x:v>Pure-component constants and public-data compilation used by thermo.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/>
      <x:c r="AT6" s="39"/>
      <x:c r="AU6" s="39"/>
      <x:c r="AV6" s="39"/>
      <x:c r="AW6" s="39"/>
      <x:c r="AX6" s="39"/>
      <x:c r="AY6" s="39"/>
      <x:c r="AZ6" s="39"/>
    </x:row>
    <x:row r="7">
      <x:c r="A7" s="41" t="str">
        <x:v>AIChE DIPPR Project 801 overview</x:v>
      </x:c>
      <x:c r="B7" s="41" t="str">
        <x:v>https://www.aiche.org/dippr/projects/801</x:v>
      </x:c>
      <x:c r="C7" s="41" t="str">
        <x:v>Reference point for an audited industrial property database; not copied into this workbook.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9"/>
      <x:c r="AT7" s="39"/>
      <x:c r="AU7" s="39"/>
      <x:c r="AV7" s="39"/>
      <x:c r="AW7" s="39"/>
      <x:c r="AX7" s="39"/>
      <x:c r="AY7" s="39"/>
      <x:c r="A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9"/>
      <x:c r="AT8" s="39"/>
      <x:c r="AU8" s="39"/>
      <x:c r="AV8" s="39"/>
      <x:c r="AW8" s="39"/>
      <x:c r="AX8" s="39"/>
      <x:c r="AY8" s="39"/>
      <x:c r="A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9"/>
      <x:c r="AT9" s="39"/>
      <x:c r="AU9" s="39"/>
      <x:c r="AV9" s="39"/>
      <x:c r="AW9" s="39"/>
      <x:c r="AX9" s="39"/>
      <x:c r="AY9" s="39"/>
      <x:c r="A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9"/>
      <x:c r="AT10" s="39"/>
      <x:c r="AU10" s="39"/>
      <x:c r="AV10" s="39"/>
      <x:c r="AW10" s="39"/>
      <x:c r="AX10" s="39"/>
      <x:c r="AY10" s="39"/>
      <x:c r="A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9"/>
      <x:c r="AT11" s="39"/>
      <x:c r="AU11" s="39"/>
      <x:c r="AV11" s="39"/>
      <x:c r="AW11" s="39"/>
      <x:c r="AX11" s="39"/>
      <x:c r="AY11" s="39"/>
      <x:c r="A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9"/>
      <x:c r="AT12" s="39"/>
      <x:c r="AU12" s="39"/>
      <x:c r="AV12" s="39"/>
      <x:c r="AW12" s="39"/>
      <x:c r="AX12" s="39"/>
      <x:c r="AY12" s="39"/>
      <x:c r="A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9"/>
      <x:c r="AT13" s="39"/>
      <x:c r="AU13" s="39"/>
      <x:c r="AV13" s="39"/>
      <x:c r="AW13" s="39"/>
      <x:c r="AX13" s="39"/>
      <x:c r="AY13" s="39"/>
      <x:c r="A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9"/>
      <x:c r="AT14" s="39"/>
      <x:c r="AU14" s="39"/>
      <x:c r="AV14" s="39"/>
      <x:c r="AW14" s="39"/>
      <x:c r="AX14" s="39"/>
      <x:c r="AY14" s="39"/>
      <x:c r="A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9"/>
      <x:c r="AT15" s="39"/>
      <x:c r="AU15" s="39"/>
      <x:c r="AV15" s="39"/>
      <x:c r="AW15" s="39"/>
      <x:c r="AX15" s="39"/>
      <x:c r="AY15" s="39"/>
      <x:c r="A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9"/>
      <x:c r="AT17" s="39"/>
      <x:c r="AU17" s="39"/>
      <x:c r="AV17" s="39"/>
      <x:c r="AW17" s="39"/>
      <x:c r="AX17" s="39"/>
      <x:c r="AY17" s="39"/>
      <x:c r="A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9"/>
      <x:c r="AT18" s="39"/>
      <x:c r="AU18" s="39"/>
      <x:c r="AV18" s="39"/>
      <x:c r="AW18" s="39"/>
      <x:c r="AX18" s="39"/>
      <x:c r="AY18" s="39"/>
      <x:c r="A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9"/>
      <x:c r="AT19" s="39"/>
      <x:c r="AU19" s="39"/>
      <x:c r="AV19" s="39"/>
      <x:c r="AW19" s="39"/>
      <x:c r="AX19" s="39"/>
      <x:c r="AY19" s="39"/>
      <x:c r="A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9"/>
      <x:c r="AT20" s="39"/>
      <x:c r="AU20" s="39"/>
      <x:c r="AV20" s="39"/>
      <x:c r="AW20" s="39"/>
      <x:c r="AX20" s="39"/>
      <x:c r="AY20" s="39"/>
      <x:c r="A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9"/>
      <x:c r="AT21" s="39"/>
      <x:c r="AU21" s="39"/>
      <x:c r="AV21" s="39"/>
      <x:c r="AW21" s="39"/>
      <x:c r="AX21" s="39"/>
      <x:c r="AY21" s="39"/>
      <x:c r="A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9"/>
      <x:c r="AT22" s="39"/>
      <x:c r="AU22" s="39"/>
      <x:c r="AV22" s="39"/>
      <x:c r="AW22" s="39"/>
      <x:c r="AX22" s="39"/>
      <x:c r="AY22" s="39"/>
      <x:c r="A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9"/>
      <x:c r="AT23" s="39"/>
      <x:c r="AU23" s="39"/>
      <x:c r="AV23" s="39"/>
      <x:c r="AW23" s="39"/>
      <x:c r="AX23" s="39"/>
      <x:c r="AY23" s="39"/>
      <x:c r="A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9"/>
      <x:c r="AT24" s="39"/>
      <x:c r="AU24" s="39"/>
      <x:c r="AV24" s="39"/>
      <x:c r="AW24" s="39"/>
      <x:c r="AX24" s="39"/>
      <x:c r="AY24" s="39"/>
      <x:c r="A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9"/>
      <x:c r="AT25" s="39"/>
      <x:c r="AU25" s="39"/>
      <x:c r="AV25" s="39"/>
      <x:c r="AW25" s="39"/>
      <x:c r="AX25" s="39"/>
      <x:c r="AY25" s="39"/>
      <x:c r="A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9"/>
      <x:c r="AT26" s="39"/>
      <x:c r="AU26" s="39"/>
      <x:c r="AV26" s="39"/>
      <x:c r="AW26" s="39"/>
      <x:c r="AX26" s="39"/>
      <x:c r="AY26" s="39"/>
      <x:c r="A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9"/>
      <x:c r="AT27" s="39"/>
      <x:c r="AU27" s="39"/>
      <x:c r="AV27" s="39"/>
      <x:c r="AW27" s="39"/>
      <x:c r="AX27" s="39"/>
      <x:c r="AY27" s="39"/>
      <x:c r="A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9"/>
      <x:c r="AT28" s="39"/>
      <x:c r="AU28" s="39"/>
      <x:c r="AV28" s="39"/>
      <x:c r="AW28" s="39"/>
      <x:c r="AX28" s="39"/>
      <x:c r="AY28" s="39"/>
      <x:c r="A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9"/>
      <x:c r="AT29" s="39"/>
      <x:c r="AU29" s="39"/>
      <x:c r="AV29" s="39"/>
      <x:c r="AW29" s="39"/>
      <x:c r="AX29" s="39"/>
      <x:c r="AY29" s="39"/>
      <x:c r="A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9"/>
      <x:c r="AT30" s="39"/>
      <x:c r="AU30" s="39"/>
      <x:c r="AV30" s="39"/>
      <x:c r="AW30" s="39"/>
      <x:c r="AX30" s="39"/>
      <x:c r="AY30" s="39"/>
      <x:c r="A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9"/>
      <x:c r="AT31" s="39"/>
      <x:c r="AU31" s="39"/>
      <x:c r="AV31" s="39"/>
      <x:c r="AW31" s="39"/>
      <x:c r="AX31" s="39"/>
      <x:c r="AY31" s="39"/>
      <x:c r="A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9"/>
      <x:c r="AT32" s="39"/>
      <x:c r="AU32" s="39"/>
      <x:c r="AV32" s="39"/>
      <x:c r="AW32" s="39"/>
      <x:c r="AX32" s="39"/>
      <x:c r="AY32" s="39"/>
      <x:c r="A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9"/>
      <x:c r="AT33" s="39"/>
      <x:c r="AU33" s="39"/>
      <x:c r="AV33" s="39"/>
      <x:c r="AW33" s="39"/>
      <x:c r="AX33" s="39"/>
      <x:c r="AY33" s="39"/>
      <x:c r="A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9"/>
      <x:c r="AT34" s="39"/>
      <x:c r="AU34" s="39"/>
      <x:c r="AV34" s="39"/>
      <x:c r="AW34" s="39"/>
      <x:c r="AX34" s="39"/>
      <x:c r="AY34" s="39"/>
      <x:c r="A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9"/>
      <x:c r="AT35" s="39"/>
      <x:c r="AU35" s="39"/>
      <x:c r="AV35" s="39"/>
      <x:c r="AW35" s="39"/>
      <x:c r="AX35" s="39"/>
      <x:c r="AY35" s="39"/>
      <x:c r="A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9"/>
      <x:c r="AT36" s="39"/>
      <x:c r="AU36" s="39"/>
      <x:c r="AV36" s="39"/>
      <x:c r="AW36" s="39"/>
      <x:c r="AX36" s="39"/>
      <x:c r="AY36" s="39"/>
      <x:c r="A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9"/>
      <x:c r="AT37" s="39"/>
      <x:c r="AU37" s="39"/>
      <x:c r="AV37" s="39"/>
      <x:c r="AW37" s="39"/>
      <x:c r="AX37" s="39"/>
      <x:c r="AY37" s="39"/>
      <x:c r="A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9"/>
      <x:c r="AT38" s="39"/>
      <x:c r="AU38" s="39"/>
      <x:c r="AV38" s="39"/>
      <x:c r="AW38" s="39"/>
      <x:c r="AX38" s="39"/>
      <x:c r="AY38" s="39"/>
      <x:c r="A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  <x:c r="AR39" s="39"/>
      <x:c r="AS39" s="39"/>
      <x:c r="AT39" s="39"/>
      <x:c r="AU39" s="39"/>
      <x:c r="AV39" s="39"/>
      <x:c r="AW39" s="39"/>
      <x:c r="AX39" s="39"/>
      <x:c r="AY39" s="39"/>
      <x:c r="A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  <x:c r="AR40" s="39"/>
      <x:c r="AS40" s="39"/>
      <x:c r="AT40" s="39"/>
      <x:c r="AU40" s="39"/>
      <x:c r="AV40" s="39"/>
      <x:c r="AW40" s="39"/>
      <x:c r="AX40" s="39"/>
      <x:c r="AY40" s="39"/>
      <x:c r="A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  <x:c r="AR41" s="39"/>
      <x:c r="AS41" s="39"/>
      <x:c r="AT41" s="39"/>
      <x:c r="AU41" s="39"/>
      <x:c r="AV41" s="39"/>
      <x:c r="AW41" s="39"/>
      <x:c r="AX41" s="39"/>
      <x:c r="AY41" s="39"/>
      <x:c r="A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  <x:c r="AR42" s="39"/>
      <x:c r="AS42" s="39"/>
      <x:c r="AT42" s="39"/>
      <x:c r="AU42" s="39"/>
      <x:c r="AV42" s="39"/>
      <x:c r="AW42" s="39"/>
      <x:c r="AX42" s="39"/>
      <x:c r="AY42" s="39"/>
      <x:c r="A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  <x:c r="AR43" s="39"/>
      <x:c r="AS43" s="39"/>
      <x:c r="AT43" s="39"/>
      <x:c r="AU43" s="39"/>
      <x:c r="AV43" s="39"/>
      <x:c r="AW43" s="39"/>
      <x:c r="AX43" s="39"/>
      <x:c r="AY43" s="39"/>
      <x:c r="A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  <x:c r="AR44" s="39"/>
      <x:c r="AS44" s="39"/>
      <x:c r="AT44" s="39"/>
      <x:c r="AU44" s="39"/>
      <x:c r="AV44" s="39"/>
      <x:c r="AW44" s="39"/>
      <x:c r="AX44" s="39"/>
      <x:c r="AY44" s="39"/>
      <x:c r="A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  <x:c r="AR45" s="39"/>
      <x:c r="AS45" s="39"/>
      <x:c r="AT45" s="39"/>
      <x:c r="AU45" s="39"/>
      <x:c r="AV45" s="39"/>
      <x:c r="AW45" s="39"/>
      <x:c r="AX45" s="39"/>
      <x:c r="AY45" s="39"/>
      <x:c r="A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  <x:c r="AR46" s="39"/>
      <x:c r="AS46" s="39"/>
      <x:c r="AT46" s="39"/>
      <x:c r="AU46" s="39"/>
      <x:c r="AV46" s="39"/>
      <x:c r="AW46" s="39"/>
      <x:c r="AX46" s="39"/>
      <x:c r="AY46" s="39"/>
      <x:c r="A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  <x:c r="AR47" s="39"/>
      <x:c r="AS47" s="39"/>
      <x:c r="AT47" s="39"/>
      <x:c r="AU47" s="39"/>
      <x:c r="AV47" s="39"/>
      <x:c r="AW47" s="39"/>
      <x:c r="AX47" s="39"/>
      <x:c r="AY47" s="39"/>
      <x:c r="A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  <x:c r="AR48" s="39"/>
      <x:c r="AS48" s="39"/>
      <x:c r="AT48" s="39"/>
      <x:c r="AU48" s="39"/>
      <x:c r="AV48" s="39"/>
      <x:c r="AW48" s="39"/>
      <x:c r="AX48" s="39"/>
      <x:c r="AY48" s="39"/>
      <x:c r="A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  <x:c r="AR49" s="39"/>
      <x:c r="AS49" s="39"/>
      <x:c r="AT49" s="39"/>
      <x:c r="AU49" s="39"/>
      <x:c r="AV49" s="39"/>
      <x:c r="AW49" s="39"/>
      <x:c r="AX49" s="39"/>
      <x:c r="AY49" s="39"/>
      <x:c r="A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  <x:c r="AR50" s="39"/>
      <x:c r="AS50" s="39"/>
      <x:c r="AT50" s="39"/>
      <x:c r="AU50" s="39"/>
      <x:c r="AV50" s="39"/>
      <x:c r="AW50" s="39"/>
      <x:c r="AX50" s="39"/>
      <x:c r="AY50" s="39"/>
      <x:c r="A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  <x:c r="AR51" s="39"/>
      <x:c r="AS51" s="39"/>
      <x:c r="AT51" s="39"/>
      <x:c r="AU51" s="39"/>
      <x:c r="AV51" s="39"/>
      <x:c r="AW51" s="39"/>
      <x:c r="AX51" s="39"/>
      <x:c r="AY51" s="39"/>
      <x:c r="A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  <x:c r="AR52" s="39"/>
      <x:c r="AS52" s="39"/>
      <x:c r="AT52" s="39"/>
      <x:c r="AU52" s="39"/>
      <x:c r="AV52" s="39"/>
      <x:c r="AW52" s="39"/>
      <x:c r="AX52" s="39"/>
      <x:c r="AY52" s="39"/>
      <x:c r="A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  <x:c r="AR53" s="39"/>
      <x:c r="AS53" s="39"/>
      <x:c r="AT53" s="39"/>
      <x:c r="AU53" s="39"/>
      <x:c r="AV53" s="39"/>
      <x:c r="AW53" s="39"/>
      <x:c r="AX53" s="39"/>
      <x:c r="AY53" s="39"/>
      <x:c r="A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  <x:c r="AR54" s="39"/>
      <x:c r="AS54" s="39"/>
      <x:c r="AT54" s="39"/>
      <x:c r="AU54" s="39"/>
      <x:c r="AV54" s="39"/>
      <x:c r="AW54" s="39"/>
      <x:c r="AX54" s="39"/>
      <x:c r="AY54" s="39"/>
      <x:c r="A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  <x:c r="AR55" s="39"/>
      <x:c r="AS55" s="39"/>
      <x:c r="AT55" s="39"/>
      <x:c r="AU55" s="39"/>
      <x:c r="AV55" s="39"/>
      <x:c r="AW55" s="39"/>
      <x:c r="AX55" s="39"/>
      <x:c r="AY55" s="39"/>
      <x:c r="A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  <x:c r="AR56" s="39"/>
      <x:c r="AS56" s="39"/>
      <x:c r="AT56" s="39"/>
      <x:c r="AU56" s="39"/>
      <x:c r="AV56" s="39"/>
      <x:c r="AW56" s="39"/>
      <x:c r="AX56" s="39"/>
      <x:c r="AY56" s="39"/>
      <x:c r="A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  <x:c r="AR57" s="39"/>
      <x:c r="AS57" s="39"/>
      <x:c r="AT57" s="39"/>
      <x:c r="AU57" s="39"/>
      <x:c r="AV57" s="39"/>
      <x:c r="AW57" s="39"/>
      <x:c r="AX57" s="39"/>
      <x:c r="AY57" s="39"/>
      <x:c r="A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  <x:c r="AR59" s="39"/>
      <x:c r="AS59" s="39"/>
      <x:c r="AT59" s="39"/>
      <x:c r="AU59" s="39"/>
      <x:c r="AV59" s="39"/>
      <x:c r="AW59" s="39"/>
      <x:c r="AX59" s="39"/>
      <x:c r="AY59" s="39"/>
      <x:c r="A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  <x:c r="AR60" s="39"/>
      <x:c r="AS60" s="39"/>
      <x:c r="AT60" s="39"/>
      <x:c r="AU60" s="39"/>
      <x:c r="AV60" s="39"/>
      <x:c r="AW60" s="39"/>
      <x:c r="AX60" s="39"/>
      <x:c r="AY60" s="39"/>
      <x:c r="A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  <x:c r="AR61" s="39"/>
      <x:c r="AS61" s="39"/>
      <x:c r="AT61" s="39"/>
      <x:c r="AU61" s="39"/>
      <x:c r="AV61" s="39"/>
      <x:c r="AW61" s="39"/>
      <x:c r="AX61" s="39"/>
      <x:c r="AY61" s="39"/>
      <x:c r="A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  <x:c r="AR62" s="39"/>
      <x:c r="AS62" s="39"/>
      <x:c r="AT62" s="39"/>
      <x:c r="AU62" s="39"/>
      <x:c r="AV62" s="39"/>
      <x:c r="AW62" s="39"/>
      <x:c r="AX62" s="39"/>
      <x:c r="AY62" s="39"/>
      <x:c r="A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  <x:c r="AR63" s="39"/>
      <x:c r="AS63" s="39"/>
      <x:c r="AT63" s="39"/>
      <x:c r="AU63" s="39"/>
      <x:c r="AV63" s="39"/>
      <x:c r="AW63" s="39"/>
      <x:c r="AX63" s="39"/>
      <x:c r="AY63" s="39"/>
      <x:c r="A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  <x:c r="AR64" s="39"/>
      <x:c r="AS64" s="39"/>
      <x:c r="AT64" s="39"/>
      <x:c r="AU64" s="39"/>
      <x:c r="AV64" s="39"/>
      <x:c r="AW64" s="39"/>
      <x:c r="AX64" s="39"/>
      <x:c r="AY64" s="39"/>
      <x:c r="A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  <x:c r="AR65" s="39"/>
      <x:c r="AS65" s="39"/>
      <x:c r="AT65" s="39"/>
      <x:c r="AU65" s="39"/>
      <x:c r="AV65" s="39"/>
      <x:c r="AW65" s="39"/>
      <x:c r="AX65" s="39"/>
      <x:c r="AY65" s="39"/>
      <x:c r="A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  <x:c r="AR66" s="39"/>
      <x:c r="AS66" s="39"/>
      <x:c r="AT66" s="39"/>
      <x:c r="AU66" s="39"/>
      <x:c r="AV66" s="39"/>
      <x:c r="AW66" s="39"/>
      <x:c r="AX66" s="39"/>
      <x:c r="AY66" s="39"/>
      <x:c r="A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  <x:c r="AR67" s="39"/>
      <x:c r="AS67" s="39"/>
      <x:c r="AT67" s="39"/>
      <x:c r="AU67" s="39"/>
      <x:c r="AV67" s="39"/>
      <x:c r="AW67" s="39"/>
      <x:c r="AX67" s="39"/>
      <x:c r="AY67" s="39"/>
      <x:c r="A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  <x:c r="AR68" s="39"/>
      <x:c r="AS68" s="39"/>
      <x:c r="AT68" s="39"/>
      <x:c r="AU68" s="39"/>
      <x:c r="AV68" s="39"/>
      <x:c r="AW68" s="39"/>
      <x:c r="AX68" s="39"/>
      <x:c r="AY68" s="39"/>
      <x:c r="A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  <x:c r="AR69" s="39"/>
      <x:c r="AS69" s="39"/>
      <x:c r="AT69" s="39"/>
      <x:c r="AU69" s="39"/>
      <x:c r="AV69" s="39"/>
      <x:c r="AW69" s="39"/>
      <x:c r="AX69" s="39"/>
      <x:c r="AY69" s="39"/>
      <x:c r="A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  <x:c r="AR70" s="39"/>
      <x:c r="AS70" s="39"/>
      <x:c r="AT70" s="39"/>
      <x:c r="AU70" s="39"/>
      <x:c r="AV70" s="39"/>
      <x:c r="AW70" s="39"/>
      <x:c r="AX70" s="39"/>
      <x:c r="AY70" s="39"/>
      <x:c r="A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  <x:c r="AR71" s="39"/>
      <x:c r="AS71" s="39"/>
      <x:c r="AT71" s="39"/>
      <x:c r="AU71" s="39"/>
      <x:c r="AV71" s="39"/>
      <x:c r="AW71" s="39"/>
      <x:c r="AX71" s="39"/>
      <x:c r="AY71" s="39"/>
      <x:c r="A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  <x:c r="AR72" s="39"/>
      <x:c r="AS72" s="39"/>
      <x:c r="AT72" s="39"/>
      <x:c r="AU72" s="39"/>
      <x:c r="AV72" s="39"/>
      <x:c r="AW72" s="39"/>
      <x:c r="AX72" s="39"/>
      <x:c r="AY72" s="39"/>
      <x:c r="A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  <x:c r="AR73" s="39"/>
      <x:c r="AS73" s="39"/>
      <x:c r="AT73" s="39"/>
      <x:c r="AU73" s="39"/>
      <x:c r="AV73" s="39"/>
      <x:c r="AW73" s="39"/>
      <x:c r="AX73" s="39"/>
      <x:c r="AY73" s="39"/>
      <x:c r="A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  <x:c r="AR74" s="39"/>
      <x:c r="AS74" s="39"/>
      <x:c r="AT74" s="39"/>
      <x:c r="AU74" s="39"/>
      <x:c r="AV74" s="39"/>
      <x:c r="AW74" s="39"/>
      <x:c r="AX74" s="39"/>
      <x:c r="AY74" s="39"/>
      <x:c r="A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  <x:c r="AR75" s="39"/>
      <x:c r="AS75" s="39"/>
      <x:c r="AT75" s="39"/>
      <x:c r="AU75" s="39"/>
      <x:c r="AV75" s="39"/>
      <x:c r="AW75" s="39"/>
      <x:c r="AX75" s="39"/>
      <x:c r="AY75" s="39"/>
      <x:c r="A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  <x:c r="AR76" s="39"/>
      <x:c r="AS76" s="39"/>
      <x:c r="AT76" s="39"/>
      <x:c r="AU76" s="39"/>
      <x:c r="AV76" s="39"/>
      <x:c r="AW76" s="39"/>
      <x:c r="AX76" s="39"/>
      <x:c r="AY76" s="39"/>
      <x:c r="A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  <x:c r="AR77" s="39"/>
      <x:c r="AS77" s="39"/>
      <x:c r="AT77" s="39"/>
      <x:c r="AU77" s="39"/>
      <x:c r="AV77" s="39"/>
      <x:c r="AW77" s="39"/>
      <x:c r="AX77" s="39"/>
      <x:c r="AY77" s="39"/>
      <x:c r="A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  <x:c r="AR78" s="39"/>
      <x:c r="AS78" s="39"/>
      <x:c r="AT78" s="39"/>
      <x:c r="AU78" s="39"/>
      <x:c r="AV78" s="39"/>
      <x:c r="AW78" s="39"/>
      <x:c r="AX78" s="39"/>
      <x:c r="AY78" s="39"/>
      <x:c r="A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  <x:c r="AR79" s="39"/>
      <x:c r="AS79" s="39"/>
      <x:c r="AT79" s="39"/>
      <x:c r="AU79" s="39"/>
      <x:c r="AV79" s="39"/>
      <x:c r="AW79" s="39"/>
      <x:c r="AX79" s="39"/>
      <x:c r="AY79" s="39"/>
      <x:c r="A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  <x:c r="AR80" s="39"/>
      <x:c r="AS80" s="39"/>
      <x:c r="AT80" s="39"/>
      <x:c r="AU80" s="39"/>
      <x:c r="AV80" s="39"/>
      <x:c r="AW80" s="39"/>
      <x:c r="AX80" s="39"/>
      <x:c r="AY80" s="39"/>
      <x:c r="A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  <x:c r="AR81" s="39"/>
      <x:c r="AS81" s="39"/>
      <x:c r="AT81" s="39"/>
      <x:c r="AU81" s="39"/>
      <x:c r="AV81" s="39"/>
      <x:c r="AW81" s="39"/>
      <x:c r="AX81" s="39"/>
      <x:c r="AY81" s="39"/>
      <x:c r="A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  <x:c r="AR82" s="39"/>
      <x:c r="AS82" s="39"/>
      <x:c r="AT82" s="39"/>
      <x:c r="AU82" s="39"/>
      <x:c r="AV82" s="39"/>
      <x:c r="AW82" s="39"/>
      <x:c r="AX82" s="39"/>
      <x:c r="AY82" s="39"/>
      <x:c r="A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  <x:c r="AR83" s="39"/>
      <x:c r="AS83" s="39"/>
      <x:c r="AT83" s="39"/>
      <x:c r="AU83" s="39"/>
      <x:c r="AV83" s="39"/>
      <x:c r="AW83" s="39"/>
      <x:c r="AX83" s="39"/>
      <x:c r="AY83" s="39"/>
      <x:c r="A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  <x:c r="AR84" s="39"/>
      <x:c r="AS84" s="39"/>
      <x:c r="AT84" s="39"/>
      <x:c r="AU84" s="39"/>
      <x:c r="AV84" s="39"/>
      <x:c r="AW84" s="39"/>
      <x:c r="AX84" s="39"/>
      <x:c r="AY84" s="39"/>
      <x:c r="A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  <x:c r="AR85" s="39"/>
      <x:c r="AS85" s="39"/>
      <x:c r="AT85" s="39"/>
      <x:c r="AU85" s="39"/>
      <x:c r="AV85" s="39"/>
      <x:c r="AW85" s="39"/>
      <x:c r="AX85" s="39"/>
      <x:c r="AY85" s="39"/>
      <x:c r="A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  <x:c r="AR86" s="39"/>
      <x:c r="AS86" s="39"/>
      <x:c r="AT86" s="39"/>
      <x:c r="AU86" s="39"/>
      <x:c r="AV86" s="39"/>
      <x:c r="AW86" s="39"/>
      <x:c r="AX86" s="39"/>
      <x:c r="AY86" s="39"/>
      <x:c r="A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  <x:c r="AR87" s="39"/>
      <x:c r="AS87" s="39"/>
      <x:c r="AT87" s="39"/>
      <x:c r="AU87" s="39"/>
      <x:c r="AV87" s="39"/>
      <x:c r="AW87" s="39"/>
      <x:c r="AX87" s="39"/>
      <x:c r="AY87" s="39"/>
      <x:c r="A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  <x:c r="AR88" s="39"/>
      <x:c r="AS88" s="39"/>
      <x:c r="AT88" s="39"/>
      <x:c r="AU88" s="39"/>
      <x:c r="AV88" s="39"/>
      <x:c r="AW88" s="39"/>
      <x:c r="AX88" s="39"/>
      <x:c r="AY88" s="39"/>
      <x:c r="A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  <x:c r="AR89" s="39"/>
      <x:c r="AS89" s="39"/>
      <x:c r="AT89" s="39"/>
      <x:c r="AU89" s="39"/>
      <x:c r="AV89" s="39"/>
      <x:c r="AW89" s="39"/>
      <x:c r="AX89" s="39"/>
      <x:c r="AY89" s="39"/>
      <x:c r="A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  <x:c r="AR90" s="39"/>
      <x:c r="AS90" s="39"/>
      <x:c r="AT90" s="39"/>
      <x:c r="AU90" s="39"/>
      <x:c r="AV90" s="39"/>
      <x:c r="AW90" s="39"/>
      <x:c r="AX90" s="39"/>
      <x:c r="AY90" s="39"/>
      <x:c r="A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  <x:c r="AR91" s="39"/>
      <x:c r="AS91" s="39"/>
      <x:c r="AT91" s="39"/>
      <x:c r="AU91" s="39"/>
      <x:c r="AV91" s="39"/>
      <x:c r="AW91" s="39"/>
      <x:c r="AX91" s="39"/>
      <x:c r="AY91" s="39"/>
      <x:c r="A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  <x:c r="AR92" s="39"/>
      <x:c r="AS92" s="39"/>
      <x:c r="AT92" s="39"/>
      <x:c r="AU92" s="39"/>
      <x:c r="AV92" s="39"/>
      <x:c r="AW92" s="39"/>
      <x:c r="AX92" s="39"/>
      <x:c r="AY92" s="39"/>
      <x:c r="A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  <x:c r="AR93" s="39"/>
      <x:c r="AS93" s="39"/>
      <x:c r="AT93" s="39"/>
      <x:c r="AU93" s="39"/>
      <x:c r="AV93" s="39"/>
      <x:c r="AW93" s="39"/>
      <x:c r="AX93" s="39"/>
      <x:c r="AY93" s="39"/>
      <x:c r="A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  <x:c r="AR94" s="39"/>
      <x:c r="AS94" s="39"/>
      <x:c r="AT94" s="39"/>
      <x:c r="AU94" s="39"/>
      <x:c r="AV94" s="39"/>
      <x:c r="AW94" s="39"/>
      <x:c r="AX94" s="39"/>
      <x:c r="AY94" s="39"/>
      <x:c r="A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  <x:c r="AR95" s="39"/>
      <x:c r="AS95" s="39"/>
      <x:c r="AT95" s="39"/>
      <x:c r="AU95" s="39"/>
      <x:c r="AV95" s="39"/>
      <x:c r="AW95" s="39"/>
      <x:c r="AX95" s="39"/>
      <x:c r="AY95" s="39"/>
      <x:c r="A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  <x:c r="AR96" s="39"/>
      <x:c r="AS96" s="39"/>
      <x:c r="AT96" s="39"/>
      <x:c r="AU96" s="39"/>
      <x:c r="AV96" s="39"/>
      <x:c r="AW96" s="39"/>
      <x:c r="AX96" s="39"/>
      <x:c r="AY96" s="39"/>
      <x:c r="A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  <x:c r="AR97" s="39"/>
      <x:c r="AS97" s="39"/>
      <x:c r="AT97" s="39"/>
      <x:c r="AU97" s="39"/>
      <x:c r="AV97" s="39"/>
      <x:c r="AW97" s="39"/>
      <x:c r="AX97" s="39"/>
      <x:c r="AY97" s="39"/>
      <x:c r="A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  <x:c r="AR98" s="39"/>
      <x:c r="AS98" s="39"/>
      <x:c r="AT98" s="39"/>
      <x:c r="AU98" s="39"/>
      <x:c r="AV98" s="39"/>
      <x:c r="AW98" s="39"/>
      <x:c r="AX98" s="39"/>
      <x:c r="AY98" s="39"/>
      <x:c r="A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  <x:c r="AR99" s="39"/>
      <x:c r="AS99" s="39"/>
      <x:c r="AT99" s="39"/>
      <x:c r="AU99" s="39"/>
      <x:c r="AV99" s="39"/>
      <x:c r="AW99" s="39"/>
      <x:c r="AX99" s="39"/>
      <x:c r="AY99" s="39"/>
      <x:c r="A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  <x:c r="AR100" s="39"/>
      <x:c r="AS100" s="39"/>
      <x:c r="AT100" s="39"/>
      <x:c r="AU100" s="39"/>
      <x:c r="AV100" s="39"/>
      <x:c r="AW100" s="39"/>
      <x:c r="AX100" s="39"/>
      <x:c r="AY100" s="39"/>
      <x:c r="A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  <x:c r="AR101" s="39"/>
      <x:c r="AS101" s="39"/>
      <x:c r="AT101" s="39"/>
      <x:c r="AU101" s="39"/>
      <x:c r="AV101" s="39"/>
      <x:c r="AW101" s="39"/>
      <x:c r="AX101" s="39"/>
      <x:c r="AY101" s="39"/>
      <x:c r="A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  <x:c r="AR102" s="39"/>
      <x:c r="AS102" s="39"/>
      <x:c r="AT102" s="39"/>
      <x:c r="AU102" s="39"/>
      <x:c r="AV102" s="39"/>
      <x:c r="AW102" s="39"/>
      <x:c r="AX102" s="39"/>
      <x:c r="AY102" s="39"/>
      <x:c r="A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  <x:c r="AR103" s="39"/>
      <x:c r="AS103" s="39"/>
      <x:c r="AT103" s="39"/>
      <x:c r="AU103" s="39"/>
      <x:c r="AV103" s="39"/>
      <x:c r="AW103" s="39"/>
      <x:c r="AX103" s="39"/>
      <x:c r="AY103" s="39"/>
      <x:c r="A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  <x:c r="AR104" s="39"/>
      <x:c r="AS104" s="39"/>
      <x:c r="AT104" s="39"/>
      <x:c r="AU104" s="39"/>
      <x:c r="AV104" s="39"/>
      <x:c r="AW104" s="39"/>
      <x:c r="AX104" s="39"/>
      <x:c r="AY104" s="39"/>
      <x:c r="A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  <x:c r="AR105" s="39"/>
      <x:c r="AS105" s="39"/>
      <x:c r="AT105" s="39"/>
      <x:c r="AU105" s="39"/>
      <x:c r="AV105" s="39"/>
      <x:c r="AW105" s="39"/>
      <x:c r="AX105" s="39"/>
      <x:c r="AY105" s="39"/>
      <x:c r="A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  <x:c r="AR106" s="39"/>
      <x:c r="AS106" s="39"/>
      <x:c r="AT106" s="39"/>
      <x:c r="AU106" s="39"/>
      <x:c r="AV106" s="39"/>
      <x:c r="AW106" s="39"/>
      <x:c r="AX106" s="39"/>
      <x:c r="AY106" s="39"/>
      <x:c r="A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  <x:c r="AR107" s="39"/>
      <x:c r="AS107" s="39"/>
      <x:c r="AT107" s="39"/>
      <x:c r="AU107" s="39"/>
      <x:c r="AV107" s="39"/>
      <x:c r="AW107" s="39"/>
      <x:c r="AX107" s="39"/>
      <x:c r="AY107" s="39"/>
      <x:c r="A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  <x:c r="AR108" s="39"/>
      <x:c r="AS108" s="39"/>
      <x:c r="AT108" s="39"/>
      <x:c r="AU108" s="39"/>
      <x:c r="AV108" s="39"/>
      <x:c r="AW108" s="39"/>
      <x:c r="AX108" s="39"/>
      <x:c r="AY108" s="39"/>
      <x:c r="A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  <x:c r="AR109" s="39"/>
      <x:c r="AS109" s="39"/>
      <x:c r="AT109" s="39"/>
      <x:c r="AU109" s="39"/>
      <x:c r="AV109" s="39"/>
      <x:c r="AW109" s="39"/>
      <x:c r="AX109" s="39"/>
      <x:c r="AY109" s="39"/>
      <x:c r="A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  <x:c r="AR110" s="39"/>
      <x:c r="AS110" s="39"/>
      <x:c r="AT110" s="39"/>
      <x:c r="AU110" s="39"/>
      <x:c r="AV110" s="39"/>
      <x:c r="AW110" s="39"/>
      <x:c r="AX110" s="39"/>
      <x:c r="AY110" s="39"/>
      <x:c r="A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  <x:c r="AR111" s="39"/>
      <x:c r="AS111" s="39"/>
      <x:c r="AT111" s="39"/>
      <x:c r="AU111" s="39"/>
      <x:c r="AV111" s="39"/>
      <x:c r="AW111" s="39"/>
      <x:c r="AX111" s="39"/>
      <x:c r="AY111" s="39"/>
      <x:c r="A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  <x:c r="AR112" s="39"/>
      <x:c r="AS112" s="39"/>
      <x:c r="AT112" s="39"/>
      <x:c r="AU112" s="39"/>
      <x:c r="AV112" s="39"/>
      <x:c r="AW112" s="39"/>
      <x:c r="AX112" s="39"/>
      <x:c r="AY112" s="39"/>
      <x:c r="A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  <x:c r="AR113" s="39"/>
      <x:c r="AS113" s="39"/>
      <x:c r="AT113" s="39"/>
      <x:c r="AU113" s="39"/>
      <x:c r="AV113" s="39"/>
      <x:c r="AW113" s="39"/>
      <x:c r="AX113" s="39"/>
      <x:c r="AY113" s="39"/>
      <x:c r="A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  <x:c r="AR114" s="39"/>
      <x:c r="AS114" s="39"/>
      <x:c r="AT114" s="39"/>
      <x:c r="AU114" s="39"/>
      <x:c r="AV114" s="39"/>
      <x:c r="AW114" s="39"/>
      <x:c r="AX114" s="39"/>
      <x:c r="AY114" s="39"/>
      <x:c r="A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  <x:c r="AR115" s="39"/>
      <x:c r="AS115" s="39"/>
      <x:c r="AT115" s="39"/>
      <x:c r="AU115" s="39"/>
      <x:c r="AV115" s="39"/>
      <x:c r="AW115" s="39"/>
      <x:c r="AX115" s="39"/>
      <x:c r="AY115" s="39"/>
      <x:c r="A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  <x:c r="AR116" s="39"/>
      <x:c r="AS116" s="39"/>
      <x:c r="AT116" s="39"/>
      <x:c r="AU116" s="39"/>
      <x:c r="AV116" s="39"/>
      <x:c r="AW116" s="39"/>
      <x:c r="AX116" s="39"/>
      <x:c r="AY116" s="39"/>
      <x:c r="A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  <x:c r="AR117" s="39"/>
      <x:c r="AS117" s="39"/>
      <x:c r="AT117" s="39"/>
      <x:c r="AU117" s="39"/>
      <x:c r="AV117" s="39"/>
      <x:c r="AW117" s="39"/>
      <x:c r="AX117" s="39"/>
      <x:c r="AY117" s="39"/>
      <x:c r="A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  <x:c r="AR118" s="39"/>
      <x:c r="AS118" s="39"/>
      <x:c r="AT118" s="39"/>
      <x:c r="AU118" s="39"/>
      <x:c r="AV118" s="39"/>
      <x:c r="AW118" s="39"/>
      <x:c r="AX118" s="39"/>
      <x:c r="AY118" s="39"/>
      <x:c r="A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  <x:c r="AR119" s="39"/>
      <x:c r="AS119" s="39"/>
      <x:c r="AT119" s="39"/>
      <x:c r="AU119" s="39"/>
      <x:c r="AV119" s="39"/>
      <x:c r="AW119" s="39"/>
      <x:c r="AX119" s="39"/>
      <x:c r="AY119" s="39"/>
      <x:c r="A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  <x:c r="AR120" s="39"/>
      <x:c r="AS120" s="39"/>
      <x:c r="AT120" s="39"/>
      <x:c r="AU120" s="39"/>
      <x:c r="AV120" s="39"/>
      <x:c r="AW120" s="39"/>
      <x:c r="AX120" s="39"/>
      <x:c r="AY120" s="39"/>
      <x:c r="A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  <x:c r="AR121" s="39"/>
      <x:c r="AS121" s="39"/>
      <x:c r="AT121" s="39"/>
      <x:c r="AU121" s="39"/>
      <x:c r="AV121" s="39"/>
      <x:c r="AW121" s="39"/>
      <x:c r="AX121" s="39"/>
      <x:c r="AY121" s="39"/>
      <x:c r="A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  <x:c r="AR122" s="39"/>
      <x:c r="AS122" s="39"/>
      <x:c r="AT122" s="39"/>
      <x:c r="AU122" s="39"/>
      <x:c r="AV122" s="39"/>
      <x:c r="AW122" s="39"/>
      <x:c r="AX122" s="39"/>
      <x:c r="AY122" s="39"/>
      <x:c r="A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  <x:c r="AR123" s="39"/>
      <x:c r="AS123" s="39"/>
      <x:c r="AT123" s="39"/>
      <x:c r="AU123" s="39"/>
      <x:c r="AV123" s="39"/>
      <x:c r="AW123" s="39"/>
      <x:c r="AX123" s="39"/>
      <x:c r="AY123" s="39"/>
      <x:c r="A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  <x:c r="AR124" s="39"/>
      <x:c r="AS124" s="39"/>
      <x:c r="AT124" s="39"/>
      <x:c r="AU124" s="39"/>
      <x:c r="AV124" s="39"/>
      <x:c r="AW124" s="39"/>
      <x:c r="AX124" s="39"/>
      <x:c r="AY124" s="39"/>
      <x:c r="A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  <x:c r="AR125" s="39"/>
      <x:c r="AS125" s="39"/>
      <x:c r="AT125" s="39"/>
      <x:c r="AU125" s="39"/>
      <x:c r="AV125" s="39"/>
      <x:c r="AW125" s="39"/>
      <x:c r="AX125" s="39"/>
      <x:c r="AY125" s="39"/>
      <x:c r="A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  <x:c r="AR126" s="39"/>
      <x:c r="AS126" s="39"/>
      <x:c r="AT126" s="39"/>
      <x:c r="AU126" s="39"/>
      <x:c r="AV126" s="39"/>
      <x:c r="AW126" s="39"/>
      <x:c r="AX126" s="39"/>
      <x:c r="AY126" s="39"/>
      <x:c r="A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  <x:c r="AR127" s="39"/>
      <x:c r="AS127" s="39"/>
      <x:c r="AT127" s="39"/>
      <x:c r="AU127" s="39"/>
      <x:c r="AV127" s="39"/>
      <x:c r="AW127" s="39"/>
      <x:c r="AX127" s="39"/>
      <x:c r="AY127" s="39"/>
      <x:c r="A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  <x:c r="AR128" s="39"/>
      <x:c r="AS128" s="39"/>
      <x:c r="AT128" s="39"/>
      <x:c r="AU128" s="39"/>
      <x:c r="AV128" s="39"/>
      <x:c r="AW128" s="39"/>
      <x:c r="AX128" s="39"/>
      <x:c r="AY128" s="39"/>
      <x:c r="A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  <x:c r="AR129" s="39"/>
      <x:c r="AS129" s="39"/>
      <x:c r="AT129" s="39"/>
      <x:c r="AU129" s="39"/>
      <x:c r="AV129" s="39"/>
      <x:c r="AW129" s="39"/>
      <x:c r="AX129" s="39"/>
      <x:c r="AY129" s="39"/>
      <x:c r="A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  <x:c r="AR130" s="39"/>
      <x:c r="AS130" s="39"/>
      <x:c r="AT130" s="39"/>
      <x:c r="AU130" s="39"/>
      <x:c r="AV130" s="39"/>
      <x:c r="AW130" s="39"/>
      <x:c r="AX130" s="39"/>
      <x:c r="AY130" s="39"/>
      <x:c r="A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  <x:c r="AR131" s="39"/>
      <x:c r="AS131" s="39"/>
      <x:c r="AT131" s="39"/>
      <x:c r="AU131" s="39"/>
      <x:c r="AV131" s="39"/>
      <x:c r="AW131" s="39"/>
      <x:c r="AX131" s="39"/>
      <x:c r="AY131" s="39"/>
      <x:c r="A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  <x:c r="AR132" s="39"/>
      <x:c r="AS132" s="39"/>
      <x:c r="AT132" s="39"/>
      <x:c r="AU132" s="39"/>
      <x:c r="AV132" s="39"/>
      <x:c r="AW132" s="39"/>
      <x:c r="AX132" s="39"/>
      <x:c r="AY132" s="39"/>
      <x:c r="A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  <x:c r="AR133" s="39"/>
      <x:c r="AS133" s="39"/>
      <x:c r="AT133" s="39"/>
      <x:c r="AU133" s="39"/>
      <x:c r="AV133" s="39"/>
      <x:c r="AW133" s="39"/>
      <x:c r="AX133" s="39"/>
      <x:c r="AY133" s="39"/>
      <x:c r="A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  <x:c r="AR134" s="39"/>
      <x:c r="AS134" s="39"/>
      <x:c r="AT134" s="39"/>
      <x:c r="AU134" s="39"/>
      <x:c r="AV134" s="39"/>
      <x:c r="AW134" s="39"/>
      <x:c r="AX134" s="39"/>
      <x:c r="AY134" s="39"/>
      <x:c r="A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  <x:c r="AR135" s="39"/>
      <x:c r="AS135" s="39"/>
      <x:c r="AT135" s="39"/>
      <x:c r="AU135" s="39"/>
      <x:c r="AV135" s="39"/>
      <x:c r="AW135" s="39"/>
      <x:c r="AX135" s="39"/>
      <x:c r="AY135" s="39"/>
      <x:c r="A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  <x:c r="AR136" s="39"/>
      <x:c r="AS136" s="39"/>
      <x:c r="AT136" s="39"/>
      <x:c r="AU136" s="39"/>
      <x:c r="AV136" s="39"/>
      <x:c r="AW136" s="39"/>
      <x:c r="AX136" s="39"/>
      <x:c r="AY136" s="39"/>
      <x:c r="A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  <x:c r="AR137" s="39"/>
      <x:c r="AS137" s="39"/>
      <x:c r="AT137" s="39"/>
      <x:c r="AU137" s="39"/>
      <x:c r="AV137" s="39"/>
      <x:c r="AW137" s="39"/>
      <x:c r="AX137" s="39"/>
      <x:c r="AY137" s="39"/>
      <x:c r="A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  <x:c r="AR138" s="39"/>
      <x:c r="AS138" s="39"/>
      <x:c r="AT138" s="39"/>
      <x:c r="AU138" s="39"/>
      <x:c r="AV138" s="39"/>
      <x:c r="AW138" s="39"/>
      <x:c r="AX138" s="39"/>
      <x:c r="AY138" s="39"/>
      <x:c r="A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  <x:c r="AR139" s="39"/>
      <x:c r="AS139" s="39"/>
      <x:c r="AT139" s="39"/>
      <x:c r="AU139" s="39"/>
      <x:c r="AV139" s="39"/>
      <x:c r="AW139" s="39"/>
      <x:c r="AX139" s="39"/>
      <x:c r="AY139" s="39"/>
      <x:c r="A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  <x:c r="AR140" s="39"/>
      <x:c r="AS140" s="39"/>
      <x:c r="AT140" s="39"/>
      <x:c r="AU140" s="39"/>
      <x:c r="AV140" s="39"/>
      <x:c r="AW140" s="39"/>
      <x:c r="AX140" s="39"/>
      <x:c r="AY140" s="39"/>
      <x:c r="A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  <x:c r="AR141" s="39"/>
      <x:c r="AS141" s="39"/>
      <x:c r="AT141" s="39"/>
      <x:c r="AU141" s="39"/>
      <x:c r="AV141" s="39"/>
      <x:c r="AW141" s="39"/>
      <x:c r="AX141" s="39"/>
      <x:c r="AY141" s="39"/>
      <x:c r="A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  <x:c r="AR142" s="39"/>
      <x:c r="AS142" s="39"/>
      <x:c r="AT142" s="39"/>
      <x:c r="AU142" s="39"/>
      <x:c r="AV142" s="39"/>
      <x:c r="AW142" s="39"/>
      <x:c r="AX142" s="39"/>
      <x:c r="AY142" s="39"/>
      <x:c r="A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  <x:c r="AR143" s="39"/>
      <x:c r="AS143" s="39"/>
      <x:c r="AT143" s="39"/>
      <x:c r="AU143" s="39"/>
      <x:c r="AV143" s="39"/>
      <x:c r="AW143" s="39"/>
      <x:c r="AX143" s="39"/>
      <x:c r="AY143" s="39"/>
      <x:c r="A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  <x:c r="AR144" s="39"/>
      <x:c r="AS144" s="39"/>
      <x:c r="AT144" s="39"/>
      <x:c r="AU144" s="39"/>
      <x:c r="AV144" s="39"/>
      <x:c r="AW144" s="39"/>
      <x:c r="AX144" s="39"/>
      <x:c r="AY144" s="39"/>
      <x:c r="A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  <x:c r="AR145" s="39"/>
      <x:c r="AS145" s="39"/>
      <x:c r="AT145" s="39"/>
      <x:c r="AU145" s="39"/>
      <x:c r="AV145" s="39"/>
      <x:c r="AW145" s="39"/>
      <x:c r="AX145" s="39"/>
      <x:c r="AY145" s="39"/>
      <x:c r="A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  <x:c r="AR146" s="39"/>
      <x:c r="AS146" s="39"/>
      <x:c r="AT146" s="39"/>
      <x:c r="AU146" s="39"/>
      <x:c r="AV146" s="39"/>
      <x:c r="AW146" s="39"/>
      <x:c r="AX146" s="39"/>
      <x:c r="AY146" s="39"/>
      <x:c r="A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  <x:c r="AR147" s="39"/>
      <x:c r="AS147" s="39"/>
      <x:c r="AT147" s="39"/>
      <x:c r="AU147" s="39"/>
      <x:c r="AV147" s="39"/>
      <x:c r="AW147" s="39"/>
      <x:c r="AX147" s="39"/>
      <x:c r="AY147" s="39"/>
      <x:c r="A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  <x:c r="AR148" s="39"/>
      <x:c r="AS148" s="39"/>
      <x:c r="AT148" s="39"/>
      <x:c r="AU148" s="39"/>
      <x:c r="AV148" s="39"/>
      <x:c r="AW148" s="39"/>
      <x:c r="AX148" s="39"/>
      <x:c r="AY148" s="39"/>
      <x:c r="A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  <x:c r="AR149" s="39"/>
      <x:c r="AS149" s="39"/>
      <x:c r="AT149" s="39"/>
      <x:c r="AU149" s="39"/>
      <x:c r="AV149" s="39"/>
      <x:c r="AW149" s="39"/>
      <x:c r="AX149" s="39"/>
      <x:c r="AY149" s="39"/>
      <x:c r="A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  <x:c r="AR150" s="39"/>
      <x:c r="AS150" s="39"/>
      <x:c r="AT150" s="39"/>
      <x:c r="AU150" s="39"/>
      <x:c r="AV150" s="39"/>
      <x:c r="AW150" s="39"/>
      <x:c r="AX150" s="39"/>
      <x:c r="AY150" s="39"/>
      <x:c r="A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  <x:c r="AR151" s="39"/>
      <x:c r="AS151" s="39"/>
      <x:c r="AT151" s="39"/>
      <x:c r="AU151" s="39"/>
      <x:c r="AV151" s="39"/>
      <x:c r="AW151" s="39"/>
      <x:c r="AX151" s="39"/>
      <x:c r="AY151" s="39"/>
      <x:c r="A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  <x:c r="AR152" s="39"/>
      <x:c r="AS152" s="39"/>
      <x:c r="AT152" s="39"/>
      <x:c r="AU152" s="39"/>
      <x:c r="AV152" s="39"/>
      <x:c r="AW152" s="39"/>
      <x:c r="AX152" s="39"/>
      <x:c r="AY152" s="39"/>
      <x:c r="A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  <x:c r="AR153" s="39"/>
      <x:c r="AS153" s="39"/>
      <x:c r="AT153" s="39"/>
      <x:c r="AU153" s="39"/>
      <x:c r="AV153" s="39"/>
      <x:c r="AW153" s="39"/>
      <x:c r="AX153" s="39"/>
      <x:c r="AY153" s="39"/>
      <x:c r="A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  <x:c r="AR154" s="39"/>
      <x:c r="AS154" s="39"/>
      <x:c r="AT154" s="39"/>
      <x:c r="AU154" s="39"/>
      <x:c r="AV154" s="39"/>
      <x:c r="AW154" s="39"/>
      <x:c r="AX154" s="39"/>
      <x:c r="AY154" s="39"/>
      <x:c r="A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  <x:c r="AR155" s="39"/>
      <x:c r="AS155" s="39"/>
      <x:c r="AT155" s="39"/>
      <x:c r="AU155" s="39"/>
      <x:c r="AV155" s="39"/>
      <x:c r="AW155" s="39"/>
      <x:c r="AX155" s="39"/>
      <x:c r="AY155" s="39"/>
      <x:c r="A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  <x:c r="AR156" s="39"/>
      <x:c r="AS156" s="39"/>
      <x:c r="AT156" s="39"/>
      <x:c r="AU156" s="39"/>
      <x:c r="AV156" s="39"/>
      <x:c r="AW156" s="39"/>
      <x:c r="AX156" s="39"/>
      <x:c r="AY156" s="39"/>
      <x:c r="A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  <x:c r="AR157" s="39"/>
      <x:c r="AS157" s="39"/>
      <x:c r="AT157" s="39"/>
      <x:c r="AU157" s="39"/>
      <x:c r="AV157" s="39"/>
      <x:c r="AW157" s="39"/>
      <x:c r="AX157" s="39"/>
      <x:c r="AY157" s="39"/>
      <x:c r="A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  <x:c r="AR158" s="39"/>
      <x:c r="AS158" s="39"/>
      <x:c r="AT158" s="39"/>
      <x:c r="AU158" s="39"/>
      <x:c r="AV158" s="39"/>
      <x:c r="AW158" s="39"/>
      <x:c r="AX158" s="39"/>
      <x:c r="AY158" s="39"/>
      <x:c r="A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  <x:c r="AR159" s="39"/>
      <x:c r="AS159" s="39"/>
      <x:c r="AT159" s="39"/>
      <x:c r="AU159" s="39"/>
      <x:c r="AV159" s="39"/>
      <x:c r="AW159" s="39"/>
      <x:c r="AX159" s="39"/>
      <x:c r="AY159" s="39"/>
      <x:c r="A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  <x:c r="AR160" s="39"/>
      <x:c r="AS160" s="39"/>
      <x:c r="AT160" s="39"/>
      <x:c r="AU160" s="39"/>
      <x:c r="AV160" s="39"/>
      <x:c r="AW160" s="39"/>
      <x:c r="AX160" s="39"/>
      <x:c r="AY160" s="39"/>
      <x:c r="A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  <x:c r="AR161" s="39"/>
      <x:c r="AS161" s="39"/>
      <x:c r="AT161" s="39"/>
      <x:c r="AU161" s="39"/>
      <x:c r="AV161" s="39"/>
      <x:c r="AW161" s="39"/>
      <x:c r="AX161" s="39"/>
      <x:c r="AY161" s="39"/>
      <x:c r="A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  <x:c r="AR162" s="39"/>
      <x:c r="AS162" s="39"/>
      <x:c r="AT162" s="39"/>
      <x:c r="AU162" s="39"/>
      <x:c r="AV162" s="39"/>
      <x:c r="AW162" s="39"/>
      <x:c r="AX162" s="39"/>
      <x:c r="AY162" s="39"/>
      <x:c r="A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  <x:c r="AR163" s="39"/>
      <x:c r="AS163" s="39"/>
      <x:c r="AT163" s="39"/>
      <x:c r="AU163" s="39"/>
      <x:c r="AV163" s="39"/>
      <x:c r="AW163" s="39"/>
      <x:c r="AX163" s="39"/>
      <x:c r="AY163" s="39"/>
      <x:c r="A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  <x:c r="AR164" s="39"/>
      <x:c r="AS164" s="39"/>
      <x:c r="AT164" s="39"/>
      <x:c r="AU164" s="39"/>
      <x:c r="AV164" s="39"/>
      <x:c r="AW164" s="39"/>
      <x:c r="AX164" s="39"/>
      <x:c r="AY164" s="39"/>
      <x:c r="A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  <x:c r="AR165" s="39"/>
      <x:c r="AS165" s="39"/>
      <x:c r="AT165" s="39"/>
      <x:c r="AU165" s="39"/>
      <x:c r="AV165" s="39"/>
      <x:c r="AW165" s="39"/>
      <x:c r="AX165" s="39"/>
      <x:c r="AY165" s="39"/>
      <x:c r="A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  <x:c r="AR166" s="39"/>
      <x:c r="AS166" s="39"/>
      <x:c r="AT166" s="39"/>
      <x:c r="AU166" s="39"/>
      <x:c r="AV166" s="39"/>
      <x:c r="AW166" s="39"/>
      <x:c r="AX166" s="39"/>
      <x:c r="AY166" s="39"/>
      <x:c r="A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  <x:c r="AR167" s="39"/>
      <x:c r="AS167" s="39"/>
      <x:c r="AT167" s="39"/>
      <x:c r="AU167" s="39"/>
      <x:c r="AV167" s="39"/>
      <x:c r="AW167" s="39"/>
      <x:c r="AX167" s="39"/>
      <x:c r="AY167" s="39"/>
      <x:c r="A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  <x:c r="AR168" s="39"/>
      <x:c r="AS168" s="39"/>
      <x:c r="AT168" s="39"/>
      <x:c r="AU168" s="39"/>
      <x:c r="AV168" s="39"/>
      <x:c r="AW168" s="39"/>
      <x:c r="AX168" s="39"/>
      <x:c r="AY168" s="39"/>
      <x:c r="A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  <x:c r="AR169" s="39"/>
      <x:c r="AS169" s="39"/>
      <x:c r="AT169" s="39"/>
      <x:c r="AU169" s="39"/>
      <x:c r="AV169" s="39"/>
      <x:c r="AW169" s="39"/>
      <x:c r="AX169" s="39"/>
      <x:c r="AY169" s="39"/>
      <x:c r="A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  <x:c r="AR170" s="39"/>
      <x:c r="AS170" s="39"/>
      <x:c r="AT170" s="39"/>
      <x:c r="AU170" s="39"/>
      <x:c r="AV170" s="39"/>
      <x:c r="AW170" s="39"/>
      <x:c r="AX170" s="39"/>
      <x:c r="AY170" s="39"/>
      <x:c r="A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  <x:c r="AR171" s="39"/>
      <x:c r="AS171" s="39"/>
      <x:c r="AT171" s="39"/>
      <x:c r="AU171" s="39"/>
      <x:c r="AV171" s="39"/>
      <x:c r="AW171" s="39"/>
      <x:c r="AX171" s="39"/>
      <x:c r="AY171" s="39"/>
      <x:c r="A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  <x:c r="AR172" s="39"/>
      <x:c r="AS172" s="39"/>
      <x:c r="AT172" s="39"/>
      <x:c r="AU172" s="39"/>
      <x:c r="AV172" s="39"/>
      <x:c r="AW172" s="39"/>
      <x:c r="AX172" s="39"/>
      <x:c r="AY172" s="39"/>
      <x:c r="A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  <x:c r="AR173" s="39"/>
      <x:c r="AS173" s="39"/>
      <x:c r="AT173" s="39"/>
      <x:c r="AU173" s="39"/>
      <x:c r="AV173" s="39"/>
      <x:c r="AW173" s="39"/>
      <x:c r="AX173" s="39"/>
      <x:c r="AY173" s="39"/>
      <x:c r="A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  <x:c r="AR174" s="39"/>
      <x:c r="AS174" s="39"/>
      <x:c r="AT174" s="39"/>
      <x:c r="AU174" s="39"/>
      <x:c r="AV174" s="39"/>
      <x:c r="AW174" s="39"/>
      <x:c r="AX174" s="39"/>
      <x:c r="AY174" s="39"/>
      <x:c r="A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  <x:c r="AR175" s="39"/>
      <x:c r="AS175" s="39"/>
      <x:c r="AT175" s="39"/>
      <x:c r="AU175" s="39"/>
      <x:c r="AV175" s="39"/>
      <x:c r="AW175" s="39"/>
      <x:c r="AX175" s="39"/>
      <x:c r="AY175" s="39"/>
      <x:c r="A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  <x:c r="AR176" s="39"/>
      <x:c r="AS176" s="39"/>
      <x:c r="AT176" s="39"/>
      <x:c r="AU176" s="39"/>
      <x:c r="AV176" s="39"/>
      <x:c r="AW176" s="39"/>
      <x:c r="AX176" s="39"/>
      <x:c r="AY176" s="39"/>
      <x:c r="A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  <x:c r="AR177" s="39"/>
      <x:c r="AS177" s="39"/>
      <x:c r="AT177" s="39"/>
      <x:c r="AU177" s="39"/>
      <x:c r="AV177" s="39"/>
      <x:c r="AW177" s="39"/>
      <x:c r="AX177" s="39"/>
      <x:c r="AY177" s="39"/>
      <x:c r="A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  <x:c r="AR178" s="39"/>
      <x:c r="AS178" s="39"/>
      <x:c r="AT178" s="39"/>
      <x:c r="AU178" s="39"/>
      <x:c r="AV178" s="39"/>
      <x:c r="AW178" s="39"/>
      <x:c r="AX178" s="39"/>
      <x:c r="AY178" s="39"/>
      <x:c r="A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  <x:c r="AR179" s="39"/>
      <x:c r="AS179" s="39"/>
      <x:c r="AT179" s="39"/>
      <x:c r="AU179" s="39"/>
      <x:c r="AV179" s="39"/>
      <x:c r="AW179" s="39"/>
      <x:c r="AX179" s="39"/>
      <x:c r="AY179" s="39"/>
      <x:c r="A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  <x:c r="AR180" s="39"/>
      <x:c r="AS180" s="39"/>
      <x:c r="AT180" s="39"/>
      <x:c r="AU180" s="39"/>
      <x:c r="AV180" s="39"/>
      <x:c r="AW180" s="39"/>
      <x:c r="AX180" s="39"/>
      <x:c r="AY180" s="39"/>
      <x:c r="A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  <x:c r="AR181" s="39"/>
      <x:c r="AS181" s="39"/>
      <x:c r="AT181" s="39"/>
      <x:c r="AU181" s="39"/>
      <x:c r="AV181" s="39"/>
      <x:c r="AW181" s="39"/>
      <x:c r="AX181" s="39"/>
      <x:c r="AY181" s="39"/>
      <x:c r="A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  <x:c r="AR182" s="39"/>
      <x:c r="AS182" s="39"/>
      <x:c r="AT182" s="39"/>
      <x:c r="AU182" s="39"/>
      <x:c r="AV182" s="39"/>
      <x:c r="AW182" s="39"/>
      <x:c r="AX182" s="39"/>
      <x:c r="AY182" s="39"/>
      <x:c r="A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  <x:c r="AR183" s="39"/>
      <x:c r="AS183" s="39"/>
      <x:c r="AT183" s="39"/>
      <x:c r="AU183" s="39"/>
      <x:c r="AV183" s="39"/>
      <x:c r="AW183" s="39"/>
      <x:c r="AX183" s="39"/>
      <x:c r="AY183" s="39"/>
      <x:c r="A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  <x:c r="AR184" s="39"/>
      <x:c r="AS184" s="39"/>
      <x:c r="AT184" s="39"/>
      <x:c r="AU184" s="39"/>
      <x:c r="AV184" s="39"/>
      <x:c r="AW184" s="39"/>
      <x:c r="AX184" s="39"/>
      <x:c r="AY184" s="39"/>
      <x:c r="A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  <x:c r="AR185" s="39"/>
      <x:c r="AS185" s="39"/>
      <x:c r="AT185" s="39"/>
      <x:c r="AU185" s="39"/>
      <x:c r="AV185" s="39"/>
      <x:c r="AW185" s="39"/>
      <x:c r="AX185" s="39"/>
      <x:c r="AY185" s="39"/>
      <x:c r="A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  <x:c r="AR186" s="39"/>
      <x:c r="AS186" s="39"/>
      <x:c r="AT186" s="39"/>
      <x:c r="AU186" s="39"/>
      <x:c r="AV186" s="39"/>
      <x:c r="AW186" s="39"/>
      <x:c r="AX186" s="39"/>
      <x:c r="AY186" s="39"/>
      <x:c r="A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  <x:c r="AR187" s="39"/>
      <x:c r="AS187" s="39"/>
      <x:c r="AT187" s="39"/>
      <x:c r="AU187" s="39"/>
      <x:c r="AV187" s="39"/>
      <x:c r="AW187" s="39"/>
      <x:c r="AX187" s="39"/>
      <x:c r="AY187" s="39"/>
      <x:c r="A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  <x:c r="AR188" s="39"/>
      <x:c r="AS188" s="39"/>
      <x:c r="AT188" s="39"/>
      <x:c r="AU188" s="39"/>
      <x:c r="AV188" s="39"/>
      <x:c r="AW188" s="39"/>
      <x:c r="AX188" s="39"/>
      <x:c r="AY188" s="39"/>
      <x:c r="A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  <x:c r="AR189" s="39"/>
      <x:c r="AS189" s="39"/>
      <x:c r="AT189" s="39"/>
      <x:c r="AU189" s="39"/>
      <x:c r="AV189" s="39"/>
      <x:c r="AW189" s="39"/>
      <x:c r="AX189" s="39"/>
      <x:c r="AY189" s="39"/>
      <x:c r="A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  <x:c r="AR190" s="39"/>
      <x:c r="AS190" s="39"/>
      <x:c r="AT190" s="39"/>
      <x:c r="AU190" s="39"/>
      <x:c r="AV190" s="39"/>
      <x:c r="AW190" s="39"/>
      <x:c r="AX190" s="39"/>
      <x:c r="AY190" s="39"/>
      <x:c r="A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  <x:c r="AR191" s="39"/>
      <x:c r="AS191" s="39"/>
      <x:c r="AT191" s="39"/>
      <x:c r="AU191" s="39"/>
      <x:c r="AV191" s="39"/>
      <x:c r="AW191" s="39"/>
      <x:c r="AX191" s="39"/>
      <x:c r="AY191" s="39"/>
      <x:c r="A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  <x:c r="AR192" s="39"/>
      <x:c r="AS192" s="39"/>
      <x:c r="AT192" s="39"/>
      <x:c r="AU192" s="39"/>
      <x:c r="AV192" s="39"/>
      <x:c r="AW192" s="39"/>
      <x:c r="AX192" s="39"/>
      <x:c r="AY192" s="39"/>
      <x:c r="A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  <x:c r="AR193" s="39"/>
      <x:c r="AS193" s="39"/>
      <x:c r="AT193" s="39"/>
      <x:c r="AU193" s="39"/>
      <x:c r="AV193" s="39"/>
      <x:c r="AW193" s="39"/>
      <x:c r="AX193" s="39"/>
      <x:c r="AY193" s="39"/>
      <x:c r="A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  <x:c r="AR194" s="39"/>
      <x:c r="AS194" s="39"/>
      <x:c r="AT194" s="39"/>
      <x:c r="AU194" s="39"/>
      <x:c r="AV194" s="39"/>
      <x:c r="AW194" s="39"/>
      <x:c r="AX194" s="39"/>
      <x:c r="AY194" s="39"/>
      <x:c r="A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  <x:c r="AR195" s="39"/>
      <x:c r="AS195" s="39"/>
      <x:c r="AT195" s="39"/>
      <x:c r="AU195" s="39"/>
      <x:c r="AV195" s="39"/>
      <x:c r="AW195" s="39"/>
      <x:c r="AX195" s="39"/>
      <x:c r="AY195" s="39"/>
      <x:c r="A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  <x:c r="AR196" s="39"/>
      <x:c r="AS196" s="39"/>
      <x:c r="AT196" s="39"/>
      <x:c r="AU196" s="39"/>
      <x:c r="AV196" s="39"/>
      <x:c r="AW196" s="39"/>
      <x:c r="AX196" s="39"/>
      <x:c r="AY196" s="39"/>
      <x:c r="A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  <x:c r="AR197" s="39"/>
      <x:c r="AS197" s="39"/>
      <x:c r="AT197" s="39"/>
      <x:c r="AU197" s="39"/>
      <x:c r="AV197" s="39"/>
      <x:c r="AW197" s="39"/>
      <x:c r="AX197" s="39"/>
      <x:c r="AY197" s="39"/>
      <x:c r="A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  <x:c r="AR198" s="39"/>
      <x:c r="AS198" s="39"/>
      <x:c r="AT198" s="39"/>
      <x:c r="AU198" s="39"/>
      <x:c r="AV198" s="39"/>
      <x:c r="AW198" s="39"/>
      <x:c r="AX198" s="39"/>
      <x:c r="AY198" s="39"/>
      <x:c r="A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  <x:c r="AR199" s="39"/>
      <x:c r="AS199" s="39"/>
      <x:c r="AT199" s="39"/>
      <x:c r="AU199" s="39"/>
      <x:c r="AV199" s="39"/>
      <x:c r="AW199" s="39"/>
      <x:c r="AX199" s="39"/>
      <x:c r="AY199" s="39"/>
      <x:c r="A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  <x:c r="AR200" s="39"/>
      <x:c r="AS200" s="39"/>
      <x:c r="AT200" s="39"/>
      <x:c r="AU200" s="39"/>
      <x:c r="AV200" s="39"/>
      <x:c r="AW200" s="39"/>
      <x:c r="AX200" s="39"/>
      <x:c r="AY200" s="39"/>
      <x:c r="AZ200" s="39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b6728d36d414436"/>
  </x:tableParts>
</x:worksheet>
</file>